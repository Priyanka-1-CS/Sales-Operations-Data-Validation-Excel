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firstSheet="2" activeTab="2"/>
  </bookViews>
  <sheets>
    <sheet name="Operations Data" sheetId="2" r:id="rId1"/>
    <sheet name="Reference Data" sheetId="1" r:id="rId2"/>
    <sheet name="Reference Data Analysis" sheetId="10" r:id="rId3"/>
    <sheet name="Operations Data Analysis" sheetId="7" r:id="rId4"/>
    <sheet name="Dashboard" sheetId="8" r:id="rId5"/>
  </sheets>
  <definedNames>
    <definedName name="_xlnm._FilterDatabase" localSheetId="0" hidden="1">'Operations Data'!$M$1:$M$88</definedName>
  </definedNames>
  <calcPr calcId="152511"/>
  <pivotCaches>
    <pivotCache cacheId="20" r:id="rId6"/>
    <pivotCache cacheId="32" r:id="rId7"/>
  </pivotCaches>
</workbook>
</file>

<file path=xl/calcChain.xml><?xml version="1.0" encoding="utf-8"?>
<calcChain xmlns="http://schemas.openxmlformats.org/spreadsheetml/2006/main">
  <c r="N88" i="2" l="1"/>
  <c r="R88" i="2"/>
  <c r="P88" i="2"/>
  <c r="Q88" i="2"/>
  <c r="O88" i="2"/>
  <c r="S88" i="2"/>
  <c r="M88" i="2"/>
  <c r="M2" i="2"/>
  <c r="M65" i="2"/>
  <c r="M3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2" i="2"/>
  <c r="N9" i="2"/>
  <c r="N2" i="2"/>
  <c r="N3" i="2"/>
  <c r="N4" i="2"/>
  <c r="N5" i="2"/>
  <c r="N6" i="2"/>
  <c r="N7" i="2"/>
  <c r="N8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K86" i="2"/>
  <c r="I3" i="1"/>
  <c r="J3" i="1"/>
  <c r="I4" i="7"/>
  <c r="I5" i="7"/>
  <c r="I6" i="7"/>
  <c r="I7" i="7"/>
  <c r="H87" i="2"/>
  <c r="I8" i="7" l="1"/>
  <c r="H88" i="2"/>
  <c r="H86" i="2"/>
  <c r="L3" i="2"/>
  <c r="S3" i="2" s="1"/>
  <c r="L81" i="2"/>
  <c r="S81" i="2" s="1"/>
  <c r="L39" i="2"/>
  <c r="S39" i="2" s="1"/>
  <c r="L34" i="2"/>
  <c r="S34" i="2" s="1"/>
  <c r="L4" i="2"/>
  <c r="S4" i="2" s="1"/>
  <c r="L5" i="2"/>
  <c r="S5" i="2" s="1"/>
  <c r="L6" i="2"/>
  <c r="S6" i="2" s="1"/>
  <c r="L7" i="2"/>
  <c r="S7" i="2" s="1"/>
  <c r="L8" i="2"/>
  <c r="S8" i="2" s="1"/>
  <c r="L9" i="2"/>
  <c r="S9" i="2" s="1"/>
  <c r="L10" i="2"/>
  <c r="S10" i="2" s="1"/>
  <c r="L11" i="2"/>
  <c r="S11" i="2" s="1"/>
  <c r="L12" i="2"/>
  <c r="S12" i="2" s="1"/>
  <c r="L13" i="2"/>
  <c r="S13" i="2" s="1"/>
  <c r="L14" i="2"/>
  <c r="S14" i="2" s="1"/>
  <c r="L15" i="2"/>
  <c r="S15" i="2" s="1"/>
  <c r="L16" i="2"/>
  <c r="S16" i="2" s="1"/>
  <c r="L17" i="2"/>
  <c r="S17" i="2" s="1"/>
  <c r="L18" i="2"/>
  <c r="S18" i="2" s="1"/>
  <c r="L19" i="2"/>
  <c r="S19" i="2" s="1"/>
  <c r="L20" i="2"/>
  <c r="S20" i="2" s="1"/>
  <c r="L21" i="2"/>
  <c r="S21" i="2" s="1"/>
  <c r="L22" i="2"/>
  <c r="S22" i="2" s="1"/>
  <c r="L23" i="2"/>
  <c r="S23" i="2" s="1"/>
  <c r="L24" i="2"/>
  <c r="S24" i="2" s="1"/>
  <c r="L25" i="2"/>
  <c r="S25" i="2" s="1"/>
  <c r="L26" i="2"/>
  <c r="S26" i="2" s="1"/>
  <c r="L27" i="2"/>
  <c r="S27" i="2" s="1"/>
  <c r="L28" i="2"/>
  <c r="S28" i="2" s="1"/>
  <c r="L29" i="2"/>
  <c r="S29" i="2" s="1"/>
  <c r="L30" i="2"/>
  <c r="S30" i="2" s="1"/>
  <c r="L31" i="2"/>
  <c r="S31" i="2" s="1"/>
  <c r="L32" i="2"/>
  <c r="S32" i="2" s="1"/>
  <c r="L33" i="2"/>
  <c r="S33" i="2" s="1"/>
  <c r="L35" i="2"/>
  <c r="S35" i="2" s="1"/>
  <c r="L36" i="2"/>
  <c r="S36" i="2" s="1"/>
  <c r="L37" i="2"/>
  <c r="S37" i="2" s="1"/>
  <c r="L38" i="2"/>
  <c r="S38" i="2" s="1"/>
  <c r="L40" i="2"/>
  <c r="S40" i="2" s="1"/>
  <c r="L41" i="2"/>
  <c r="S41" i="2" s="1"/>
  <c r="L42" i="2"/>
  <c r="S42" i="2" s="1"/>
  <c r="L43" i="2"/>
  <c r="S43" i="2" s="1"/>
  <c r="L44" i="2"/>
  <c r="S44" i="2" s="1"/>
  <c r="L45" i="2"/>
  <c r="S45" i="2" s="1"/>
  <c r="L46" i="2"/>
  <c r="S46" i="2" s="1"/>
  <c r="L47" i="2"/>
  <c r="S47" i="2" s="1"/>
  <c r="L48" i="2"/>
  <c r="S48" i="2" s="1"/>
  <c r="L49" i="2"/>
  <c r="S49" i="2" s="1"/>
  <c r="L50" i="2"/>
  <c r="S50" i="2" s="1"/>
  <c r="L51" i="2"/>
  <c r="S51" i="2" s="1"/>
  <c r="L52" i="2"/>
  <c r="S52" i="2" s="1"/>
  <c r="L53" i="2"/>
  <c r="S53" i="2" s="1"/>
  <c r="L54" i="2"/>
  <c r="S54" i="2" s="1"/>
  <c r="L55" i="2"/>
  <c r="S55" i="2" s="1"/>
  <c r="L56" i="2"/>
  <c r="S56" i="2" s="1"/>
  <c r="L57" i="2"/>
  <c r="S57" i="2" s="1"/>
  <c r="L58" i="2"/>
  <c r="S58" i="2" s="1"/>
  <c r="L59" i="2"/>
  <c r="S59" i="2" s="1"/>
  <c r="L60" i="2"/>
  <c r="S60" i="2" s="1"/>
  <c r="L61" i="2"/>
  <c r="S61" i="2" s="1"/>
  <c r="L62" i="2"/>
  <c r="S62" i="2" s="1"/>
  <c r="L63" i="2"/>
  <c r="S63" i="2" s="1"/>
  <c r="L64" i="2"/>
  <c r="S64" i="2" s="1"/>
  <c r="L65" i="2"/>
  <c r="S65" i="2" s="1"/>
  <c r="L66" i="2"/>
  <c r="S66" i="2" s="1"/>
  <c r="L67" i="2"/>
  <c r="S67" i="2" s="1"/>
  <c r="L68" i="2"/>
  <c r="S68" i="2" s="1"/>
  <c r="L69" i="2"/>
  <c r="S69" i="2" s="1"/>
  <c r="L70" i="2"/>
  <c r="S70" i="2" s="1"/>
  <c r="L71" i="2"/>
  <c r="S71" i="2" s="1"/>
  <c r="L72" i="2"/>
  <c r="S72" i="2" s="1"/>
  <c r="L73" i="2"/>
  <c r="S73" i="2" s="1"/>
  <c r="L74" i="2"/>
  <c r="S74" i="2" s="1"/>
  <c r="L75" i="2"/>
  <c r="S75" i="2" s="1"/>
  <c r="L76" i="2"/>
  <c r="S76" i="2" s="1"/>
  <c r="L77" i="2"/>
  <c r="S77" i="2" s="1"/>
  <c r="L78" i="2"/>
  <c r="S78" i="2" s="1"/>
  <c r="L79" i="2"/>
  <c r="S79" i="2" s="1"/>
  <c r="L80" i="2"/>
  <c r="S80" i="2" s="1"/>
  <c r="L2" i="2"/>
  <c r="S2" i="2" s="1"/>
  <c r="B87" i="2"/>
  <c r="B86" i="2"/>
  <c r="A87" i="2"/>
  <c r="A86" i="2"/>
</calcChain>
</file>

<file path=xl/sharedStrings.xml><?xml version="1.0" encoding="utf-8"?>
<sst xmlns="http://schemas.openxmlformats.org/spreadsheetml/2006/main" count="768" uniqueCount="163">
  <si>
    <t>Reference ID</t>
  </si>
  <si>
    <t>Facility</t>
  </si>
  <si>
    <t>Department</t>
  </si>
  <si>
    <t>Process Type</t>
  </si>
  <si>
    <t>Item Category</t>
  </si>
  <si>
    <t>Standard Status</t>
  </si>
  <si>
    <t>REF001</t>
  </si>
  <si>
    <t>Kolkata</t>
  </si>
  <si>
    <t>Operations</t>
  </si>
  <si>
    <t>Inventory Review</t>
  </si>
  <si>
    <t>Raw Materials</t>
  </si>
  <si>
    <t>Active</t>
  </si>
  <si>
    <t>REF002</t>
  </si>
  <si>
    <t>Quality</t>
  </si>
  <si>
    <t>Quality Inspection</t>
  </si>
  <si>
    <t>Finished Goods</t>
  </si>
  <si>
    <t>REF003</t>
  </si>
  <si>
    <t>Mumbai</t>
  </si>
  <si>
    <t>Packaging Materials</t>
  </si>
  <si>
    <t>REF004</t>
  </si>
  <si>
    <t>Supply Chain</t>
  </si>
  <si>
    <t>Material Request</t>
  </si>
  <si>
    <t>REF005</t>
  </si>
  <si>
    <t>Pune</t>
  </si>
  <si>
    <t>Shipment Processing</t>
  </si>
  <si>
    <t>REF006</t>
  </si>
  <si>
    <t>Components</t>
  </si>
  <si>
    <t>REF007</t>
  </si>
  <si>
    <t>Bengaluru</t>
  </si>
  <si>
    <t>Equipment Inspection</t>
  </si>
  <si>
    <t>Equipment</t>
  </si>
  <si>
    <t>REF008</t>
  </si>
  <si>
    <t>Maintenance</t>
  </si>
  <si>
    <t>REF009</t>
  </si>
  <si>
    <t>Hyderabad</t>
  </si>
  <si>
    <t>REF010</t>
  </si>
  <si>
    <t>REF011</t>
  </si>
  <si>
    <t>Chennai</t>
  </si>
  <si>
    <t>REF012</t>
  </si>
  <si>
    <t>REF013</t>
  </si>
  <si>
    <t>Delhi</t>
  </si>
  <si>
    <t>REF014</t>
  </si>
  <si>
    <t>REF015</t>
  </si>
  <si>
    <t>REF016</t>
  </si>
  <si>
    <t>REF017</t>
  </si>
  <si>
    <t>REF018</t>
  </si>
  <si>
    <t>REF019</t>
  </si>
  <si>
    <t>REF020</t>
  </si>
  <si>
    <t>REF021</t>
  </si>
  <si>
    <t>REF022</t>
  </si>
  <si>
    <t>REF023</t>
  </si>
  <si>
    <t>REF024</t>
  </si>
  <si>
    <t>REF025</t>
  </si>
  <si>
    <t>Quantity</t>
  </si>
  <si>
    <t>Status</t>
  </si>
  <si>
    <t>Request Date</t>
  </si>
  <si>
    <t>Completion Date</t>
  </si>
  <si>
    <t>OP001</t>
  </si>
  <si>
    <t>Completed</t>
  </si>
  <si>
    <t>OP002</t>
  </si>
  <si>
    <t>OP003</t>
  </si>
  <si>
    <t>OP004</t>
  </si>
  <si>
    <t>OP005</t>
  </si>
  <si>
    <t>OP006</t>
  </si>
  <si>
    <t>OP007</t>
  </si>
  <si>
    <t>OP008</t>
  </si>
  <si>
    <t>OP009</t>
  </si>
  <si>
    <t>OP010</t>
  </si>
  <si>
    <t>OP011</t>
  </si>
  <si>
    <t>OP012</t>
  </si>
  <si>
    <t>OP013</t>
  </si>
  <si>
    <t>OP014</t>
  </si>
  <si>
    <t>OP015</t>
  </si>
  <si>
    <t>OP016</t>
  </si>
  <si>
    <t>OP017</t>
  </si>
  <si>
    <t>OP018</t>
  </si>
  <si>
    <t>OP019</t>
  </si>
  <si>
    <t>OP020</t>
  </si>
  <si>
    <t>OP021</t>
  </si>
  <si>
    <t>OP022</t>
  </si>
  <si>
    <t>OP023</t>
  </si>
  <si>
    <t>OP024</t>
  </si>
  <si>
    <t>OP025</t>
  </si>
  <si>
    <t>OP026</t>
  </si>
  <si>
    <t>OP027</t>
  </si>
  <si>
    <t>OP028</t>
  </si>
  <si>
    <t>OP029</t>
  </si>
  <si>
    <t>Pending</t>
  </si>
  <si>
    <t>OP030</t>
  </si>
  <si>
    <t>OP031</t>
  </si>
  <si>
    <t>OP032</t>
  </si>
  <si>
    <t>OP033</t>
  </si>
  <si>
    <t>OP034</t>
  </si>
  <si>
    <t>OP035</t>
  </si>
  <si>
    <t>OP036</t>
  </si>
  <si>
    <t>OP037</t>
  </si>
  <si>
    <t>OP038</t>
  </si>
  <si>
    <t>OP039</t>
  </si>
  <si>
    <t>OP040</t>
  </si>
  <si>
    <t>OP041</t>
  </si>
  <si>
    <t>OP042</t>
  </si>
  <si>
    <t>OP043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</si>
  <si>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</si>
  <si>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</si>
  <si>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</si>
  <si>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</si>
  <si>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</si>
  <si>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</si>
  <si>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</si>
  <si>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</si>
  <si>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</si>
  <si>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</si>
  <si>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</si>
  <si>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</si>
  <si>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</si>
  <si>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OP057</t>
  </si>
  <si>
    <t>OP058</t>
  </si>
  <si>
    <t>OP059</t>
  </si>
  <si>
    <t>OP060</t>
  </si>
  <si>
    <t>OP061</t>
  </si>
  <si>
    <t>OP062</t>
  </si>
  <si>
    <t>OP063</t>
  </si>
  <si>
    <t>OP064</t>
  </si>
  <si>
    <t>OP065</t>
  </si>
  <si>
    <t>OP066</t>
  </si>
  <si>
    <t>OP067</t>
  </si>
  <si>
    <t>OP068</t>
  </si>
  <si>
    <t>OP069</t>
  </si>
  <si>
    <t>OP070</t>
  </si>
  <si>
    <t>OP071</t>
  </si>
  <si>
    <t>OP072</t>
  </si>
  <si>
    <t>OP073</t>
  </si>
  <si>
    <t>OP074</t>
  </si>
  <si>
    <t>OP075</t>
  </si>
  <si>
    <t>OP076</t>
  </si>
  <si>
    <t>OP077</t>
  </si>
  <si>
    <t>OP078</t>
  </si>
  <si>
    <t>OP079</t>
  </si>
  <si>
    <t>OP080</t>
  </si>
  <si>
    <t>Grand Total</t>
  </si>
  <si>
    <t>In Progress</t>
  </si>
  <si>
    <t>KPI</t>
  </si>
  <si>
    <t>Total Operations</t>
  </si>
  <si>
    <t>Completed Operations</t>
  </si>
  <si>
    <t>In Progress Operations</t>
  </si>
  <si>
    <t>Completion Rate</t>
  </si>
  <si>
    <t>Operation ID</t>
  </si>
  <si>
    <t>Count of Operation ID</t>
  </si>
  <si>
    <t>Pending Operations</t>
  </si>
  <si>
    <t>Operation ID sequence validation</t>
  </si>
  <si>
    <t>Status/Completion Date validation</t>
  </si>
  <si>
    <t>Total Reference Records</t>
  </si>
  <si>
    <t>Unique Refernce IDs</t>
  </si>
  <si>
    <t>Count of Reference ID</t>
  </si>
  <si>
    <t>Reference ID Check</t>
  </si>
  <si>
    <t>Facility Check</t>
  </si>
  <si>
    <t>Department Check</t>
  </si>
  <si>
    <t>Process Type Check</t>
  </si>
  <si>
    <t>Item Category Check</t>
  </si>
  <si>
    <t>Overall Validation</t>
  </si>
  <si>
    <t>Sales Operations Data Validation &amp; Performance Dashboard</t>
  </si>
  <si>
    <t>CompletionRate</t>
  </si>
  <si>
    <t>Items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</si>
</sst>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Operations Data Validation Dashboard.xlsx]Operations Data 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Operations Status by Department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1048556430446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1176962374343329E-2"/>
          <c:y val="0.15570948782535685"/>
          <c:w val="0.76947221183875747"/>
          <c:h val="0.74270248649649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'Operations Data Analysis'!$B$3:$B$4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Analysis'!$B$5:$B$9</c:f>
              <c:numCache>
                <c:formatCode>General</c:formatCode>
                <c:ptCount val="4"/>
                <c:pt idx="0">
                  <c:v>6</c:v>
                </c:pt>
                <c:pt idx="1">
                  <c:v>26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'Operations Data Analysis'!$C$3:$C$4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'Operations Data Analysis'!$D$3:$D$4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Analysis'!$D$5:$D$9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061947456"/>
        <c:axId val="1061948000"/>
      </c:barChart>
      <c:catAx>
        <c:axId val="106194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48000"/>
        <c:crosses val="autoZero"/>
        <c:auto val="1"/>
        <c:lblAlgn val="ctr"/>
        <c:lblOffset val="100"/>
        <c:noMultiLvlLbl val="0"/>
      </c:catAx>
      <c:valAx>
        <c:axId val="10619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4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85846466741432"/>
          <c:y val="0.44849825132060006"/>
          <c:w val="0.14382759965111558"/>
          <c:h val="0.225127432118844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Operations Data Validation Dashboard.xlsx]Operations Data Analysis!PivotTable1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Operations Status by Department</a:t>
            </a:r>
            <a:endParaRPr lang="en-I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'Operations Data Analysis'!$B$3:$B$4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Analysis'!$B$5:$B$9</c:f>
              <c:numCache>
                <c:formatCode>General</c:formatCode>
                <c:ptCount val="4"/>
                <c:pt idx="0">
                  <c:v>6</c:v>
                </c:pt>
                <c:pt idx="1">
                  <c:v>26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'Operations Data Analysis'!$C$3:$C$4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'Operations Data Analysis'!$D$3:$D$4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Analysis'!$D$5:$D$9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665552"/>
        <c:axId val="1060662832"/>
      </c:barChart>
      <c:catAx>
        <c:axId val="106066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62832"/>
        <c:crosses val="autoZero"/>
        <c:auto val="1"/>
        <c:lblAlgn val="ctr"/>
        <c:lblOffset val="100"/>
        <c:noMultiLvlLbl val="0"/>
      </c:catAx>
      <c:valAx>
        <c:axId val="106066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66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11</xdr:col>
      <xdr:colOff>7620</xdr:colOff>
      <xdr:row>27</xdr:row>
      <xdr:rowOff>175260</xdr:rowOff>
    </xdr:to>
    <xdr:graphicFrame macro="">
      <xdr:nvGraphicFramePr>
        <xdr:cNvPr id="5" name="Operations Status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1554480</xdr:colOff>
      <xdr:row>24</xdr:row>
      <xdr:rowOff>175260</xdr:rowOff>
    </xdr:to>
    <xdr:graphicFrame macro="">
      <xdr:nvGraphicFramePr>
        <xdr:cNvPr id="2" name="Operations Status by Departmen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52.764490393522" createdVersion="5" refreshedVersion="5" minRefreshableVersion="3" recordCount="80">
  <cacheSource type="worksheet">
    <worksheetSource ref="A1:J81" sheet="Operations Data"/>
  </cacheSource>
  <cacheFields count="10">
    <cacheField name="Operation ID" numFmtId="0">
      <sharedItems/>
    </cacheField>
    <cacheField name="Reference ID" numFmtId="0">
      <sharedItems/>
    </cacheField>
    <cacheField name="Facility" numFmtId="0">
      <sharedItems/>
    </cacheField>
    <cacheField name="Department" numFmtId="0">
      <sharedItems count="4">
        <s v="Operations"/>
        <s v="Quality"/>
        <s v="Supply Chain"/>
        <s v="Maintenance"/>
      </sharedItems>
    </cacheField>
    <cacheField name="Process Type" numFmtId="0">
      <sharedItems/>
    </cacheField>
    <cacheField name="Item Category" numFmtId="0">
      <sharedItems/>
    </cacheField>
    <cacheField name="Quantity" numFmtId="0">
      <sharedItems containsSemiMixedTypes="0" containsString="0" containsNumber="1" containsInteger="1" minValue="8" maxValue="220"/>
    </cacheField>
    <cacheField name="Status" numFmtId="0">
      <sharedItems count="3">
        <s v="Completed"/>
        <s v="In Progress"/>
        <s v="Pending"/>
      </sharedItems>
    </cacheField>
    <cacheField name="Request Date" numFmtId="15">
      <sharedItems containsSemiMixedTypes="0" containsNonDate="0" containsDate="1" containsString="0" minDate="2026-01-05T00:00:00" maxDate="2026-07-29T00:00:00"/>
    </cacheField>
    <cacheField name="Completion Date" numFmtId="0">
      <sharedItems containsNonDate="0" containsDate="1" containsString="0" containsBlank="1" minDate="2026-01-06T00:00:00" maxDate="2026-07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52.781617939814" createdVersion="5" refreshedVersion="5" minRefreshableVersion="3" recordCount="25">
  <cacheSource type="worksheet">
    <worksheetSource ref="A1:F26" sheet="Reference Data"/>
  </cacheSource>
  <cacheFields count="6">
    <cacheField name="Reference ID" numFmtId="0">
      <sharedItems/>
    </cacheField>
    <cacheField name="Facility" numFmtId="0">
      <sharedItems count="7">
        <s v="Kolkata"/>
        <s v="Mumbai"/>
        <s v="Pune"/>
        <s v="Bengaluru"/>
        <s v="Hyderabad"/>
        <s v="Chennai"/>
        <s v="Delhi"/>
      </sharedItems>
    </cacheField>
    <cacheField name="Department" numFmtId="0">
      <sharedItems count="4">
        <s v="Operations"/>
        <s v="Quality"/>
        <s v="Supply Chain"/>
        <s v="Maintenance"/>
      </sharedItems>
    </cacheField>
    <cacheField name="Process Type" numFmtId="0">
      <sharedItems count="5">
        <s v="Inventory Review"/>
        <s v="Quality Inspection"/>
        <s v="Material Request"/>
        <s v="Shipment Processing"/>
        <s v="Equipment Inspection"/>
      </sharedItems>
    </cacheField>
    <cacheField name="Item Category" numFmtId="0">
      <sharedItems count="5">
        <s v="Raw Materials"/>
        <s v="Finished Goods"/>
        <s v="Packaging Materials"/>
        <s v="Components"/>
        <s v="Equipment"/>
      </sharedItems>
    </cacheField>
    <cacheField name="Standard Status" numFmtId="0">
      <sharedItems count="1"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s v="OP001"/>
    <s v="REF001"/>
    <s v="Kolkata"/>
    <x v="0"/>
    <s v="Inventory Review"/>
    <s v="Raw Materials"/>
    <n v="120"/>
    <x v="0"/>
    <d v="2026-01-05T00:00:00"/>
    <d v="2026-01-06T00:00:00"/>
  </r>
  <r>
    <s v="OP002"/>
    <s v="REF002"/>
    <s v="Kolkata"/>
    <x v="1"/>
    <s v="Quality Inspection"/>
    <s v="Finished Goods"/>
    <n v="85"/>
    <x v="0"/>
    <d v="2026-01-08T00:00:00"/>
    <d v="2026-01-09T00:00:00"/>
  </r>
  <r>
    <s v="OP003"/>
    <s v="REF003"/>
    <s v="Mumbai"/>
    <x v="0"/>
    <s v="Inventory Review"/>
    <s v="Packaging Materials"/>
    <n v="200"/>
    <x v="0"/>
    <d v="2026-01-10T00:00:00"/>
    <d v="2026-01-12T00:00:00"/>
  </r>
  <r>
    <s v="OP004"/>
    <s v="REF004"/>
    <s v="Mumbai"/>
    <x v="2"/>
    <s v="Material Request"/>
    <s v="Raw Materials"/>
    <n v="150"/>
    <x v="0"/>
    <d v="2026-01-13T00:00:00"/>
    <d v="2026-01-14T00:00:00"/>
  </r>
  <r>
    <s v="OP005"/>
    <s v="REF005"/>
    <s v="Pune"/>
    <x v="0"/>
    <s v="Shipment Processing"/>
    <s v="Finished Goods"/>
    <n v="75"/>
    <x v="0"/>
    <d v="2026-01-15T00:00:00"/>
    <d v="2026-01-16T00:00:00"/>
  </r>
  <r>
    <s v="OP006"/>
    <s v="REF006"/>
    <s v="Pune"/>
    <x v="1"/>
    <s v="Quality Inspection"/>
    <s v="Components"/>
    <n v="90"/>
    <x v="1"/>
    <d v="2026-01-18T00:00:00"/>
    <m/>
  </r>
  <r>
    <s v="OP007"/>
    <s v="REF007"/>
    <s v="Bengaluru"/>
    <x v="0"/>
    <s v="Equipment Inspection"/>
    <s v="Equipment"/>
    <n v="12"/>
    <x v="0"/>
    <d v="2026-01-20T00:00:00"/>
    <d v="2026-01-21T00:00:00"/>
  </r>
  <r>
    <s v="OP008"/>
    <s v="REF008"/>
    <s v="Bengaluru"/>
    <x v="3"/>
    <s v="Equipment Inspection"/>
    <s v="Equipment"/>
    <n v="8"/>
    <x v="0"/>
    <d v="2026-01-23T00:00:00"/>
    <d v="2026-01-24T00:00:00"/>
  </r>
  <r>
    <s v="OP009"/>
    <s v="REF009"/>
    <s v="Hyderabad"/>
    <x v="2"/>
    <s v="Material Request"/>
    <s v="Components"/>
    <n v="175"/>
    <x v="0"/>
    <d v="2026-01-26T00:00:00"/>
    <d v="2026-01-28T00:00:00"/>
  </r>
  <r>
    <s v="OP010"/>
    <s v="REF010"/>
    <s v="Hyderabad"/>
    <x v="0"/>
    <s v="Shipment Processing"/>
    <s v="Packaging Materials"/>
    <n v="110"/>
    <x v="0"/>
    <d v="2026-01-28T00:00:00"/>
    <d v="2026-01-29T00:00:00"/>
  </r>
  <r>
    <s v="OP011"/>
    <s v="REF011"/>
    <s v="Chennai"/>
    <x v="1"/>
    <s v="Quality Inspection"/>
    <s v="Raw Materials"/>
    <n v="95"/>
    <x v="2"/>
    <d v="2026-01-31T00:00:00"/>
    <m/>
  </r>
  <r>
    <s v="OP012"/>
    <s v="REF012"/>
    <s v="Chennai"/>
    <x v="0"/>
    <s v="Inventory Review"/>
    <s v="Components"/>
    <n v="130"/>
    <x v="0"/>
    <d v="2026-02-02T00:00:00"/>
    <d v="2026-02-04T00:00:00"/>
  </r>
  <r>
    <s v="OP013"/>
    <s v="REF013"/>
    <s v="Delhi"/>
    <x v="2"/>
    <s v="Material Request"/>
    <s v="Packaging Materials"/>
    <n v="160"/>
    <x v="0"/>
    <d v="2026-02-05T00:00:00"/>
    <d v="2026-02-06T00:00:00"/>
  </r>
  <r>
    <s v="OP014"/>
    <s v="REF014"/>
    <s v="Delhi"/>
    <x v="0"/>
    <s v="Shipment Processing"/>
    <s v="Finished Goods"/>
    <n v="70"/>
    <x v="0"/>
    <d v="2026-02-08T00:00:00"/>
    <d v="2026-02-09T00:00:00"/>
  </r>
  <r>
    <s v="OP015"/>
    <s v="REF015"/>
    <s v="Kolkata"/>
    <x v="3"/>
    <s v="Equipment Inspection"/>
    <s v="Equipment"/>
    <n v="10"/>
    <x v="0"/>
    <d v="2026-02-10T00:00:00"/>
    <d v="2026-02-12T00:00:00"/>
  </r>
  <r>
    <s v="OP016"/>
    <s v="REF016"/>
    <s v="Mumbai"/>
    <x v="1"/>
    <s v="Quality Inspection"/>
    <s v="Finished Goods"/>
    <n v="100"/>
    <x v="0"/>
    <d v="2026-02-13T00:00:00"/>
    <d v="2026-02-14T00:00:00"/>
  </r>
  <r>
    <s v="OP017"/>
    <s v="REF017"/>
    <s v="Pune"/>
    <x v="2"/>
    <s v="Material Request"/>
    <s v="Raw Materials"/>
    <n v="145"/>
    <x v="0"/>
    <d v="2026-02-15T00:00:00"/>
    <d v="2026-02-16T00:00:00"/>
  </r>
  <r>
    <s v="OP018"/>
    <s v="REF018"/>
    <s v="Bengaluru"/>
    <x v="0"/>
    <s v="Inventory Review"/>
    <s v="Components"/>
    <n v="115"/>
    <x v="1"/>
    <d v="2026-02-18T00:00:00"/>
    <m/>
  </r>
  <r>
    <s v="OP019"/>
    <s v="REF019"/>
    <s v="Hyderabad"/>
    <x v="1"/>
    <s v="Quality Inspection"/>
    <s v="Packaging Materials"/>
    <n v="80"/>
    <x v="0"/>
    <d v="2026-02-20T00:00:00"/>
    <d v="2026-02-21T00:00:00"/>
  </r>
  <r>
    <s v="OP020"/>
    <s v="REF020"/>
    <s v="Chennai"/>
    <x v="2"/>
    <s v="Material Request"/>
    <s v="Finished Goods"/>
    <n v="125"/>
    <x v="0"/>
    <d v="2026-02-23T00:00:00"/>
    <d v="2026-02-24T00:00:00"/>
  </r>
  <r>
    <s v="OP021"/>
    <s v="REF021"/>
    <s v="Delhi"/>
    <x v="1"/>
    <s v="Quality Inspection"/>
    <s v="Components"/>
    <n v="105"/>
    <x v="0"/>
    <d v="2026-02-26T00:00:00"/>
    <d v="2026-02-28T00:00:00"/>
  </r>
  <r>
    <s v="OP022"/>
    <s v="REF022"/>
    <s v="Kolkata"/>
    <x v="2"/>
    <s v="Material Request"/>
    <s v="Components"/>
    <n v="135"/>
    <x v="0"/>
    <d v="2026-02-28T00:00:00"/>
    <d v="2026-03-01T00:00:00"/>
  </r>
  <r>
    <s v="OP023"/>
    <s v="REF023"/>
    <s v="Mumbai"/>
    <x v="3"/>
    <s v="Equipment Inspection"/>
    <s v="Equipment"/>
    <n v="9"/>
    <x v="2"/>
    <d v="2026-03-03T00:00:00"/>
    <m/>
  </r>
  <r>
    <s v="OP024"/>
    <s v="REF024"/>
    <s v="Pune"/>
    <x v="0"/>
    <s v="Inventory Review"/>
    <s v="Raw Materials"/>
    <n v="180"/>
    <x v="0"/>
    <d v="2026-03-05T00:00:00"/>
    <d v="2026-03-07T00:00:00"/>
  </r>
  <r>
    <s v="OP025"/>
    <s v="REF025"/>
    <s v="Bengaluru"/>
    <x v="1"/>
    <s v="Quality Inspection"/>
    <s v="Finished Goods"/>
    <n v="88"/>
    <x v="0"/>
    <d v="2026-03-08T00:00:00"/>
    <d v="2026-03-09T00:00:00"/>
  </r>
  <r>
    <s v="OP026"/>
    <s v="REF001"/>
    <s v="Kolkata"/>
    <x v="0"/>
    <s v="Inventory Review"/>
    <s v="Raw Materials"/>
    <n v="140"/>
    <x v="0"/>
    <d v="2026-03-11T00:00:00"/>
    <d v="2026-03-12T00:00:00"/>
  </r>
  <r>
    <s v="OP027"/>
    <s v="REF002"/>
    <s v="Kolkata"/>
    <x v="1"/>
    <s v="Quality Inspection"/>
    <s v="Finished Goods"/>
    <n v="92"/>
    <x v="0"/>
    <d v="2026-03-13T00:00:00"/>
    <d v="2026-03-15T00:00:00"/>
  </r>
  <r>
    <s v="OP028"/>
    <s v="REF003"/>
    <s v="Mumbai"/>
    <x v="0"/>
    <s v="Inventory Review"/>
    <s v="Packaging Materials"/>
    <n v="210"/>
    <x v="0"/>
    <d v="2026-03-16T00:00:00"/>
    <d v="2026-03-17T00:00:00"/>
  </r>
  <r>
    <s v="OP029"/>
    <s v="REF004"/>
    <s v="Mumbai"/>
    <x v="2"/>
    <s v="Material Request"/>
    <s v="Raw Materials"/>
    <n v="165"/>
    <x v="2"/>
    <d v="2026-03-18T00:00:00"/>
    <m/>
  </r>
  <r>
    <s v="OP030"/>
    <s v="REF005"/>
    <s v="Pune"/>
    <x v="0"/>
    <s v="Shipment Processing"/>
    <s v="Finished Goods"/>
    <n v="82"/>
    <x v="0"/>
    <d v="2026-03-21T00:00:00"/>
    <d v="2026-03-23T00:00:00"/>
  </r>
  <r>
    <s v="OP031"/>
    <s v="REF006"/>
    <s v="Pune"/>
    <x v="1"/>
    <s v="Quality Inspection"/>
    <s v="Components"/>
    <n v="95"/>
    <x v="1"/>
    <d v="2026-03-23T00:00:00"/>
    <d v="2026-03-24T00:00:00"/>
  </r>
  <r>
    <s v="OP032"/>
    <s v="REF007"/>
    <s v="Bengaluru"/>
    <x v="0"/>
    <s v="Equipment Inspection"/>
    <s v="Equipment"/>
    <n v="14"/>
    <x v="0"/>
    <d v="2026-03-26T00:00:00"/>
    <d v="2026-03-27T00:00:00"/>
  </r>
  <r>
    <s v="OP033"/>
    <s v="REF008"/>
    <s v="Bengaluru"/>
    <x v="3"/>
    <s v="Equipment Inspection"/>
    <s v="Equipment"/>
    <n v="11"/>
    <x v="0"/>
    <d v="2026-03-29T00:00:00"/>
    <d v="2026-03-31T00:00:00"/>
  </r>
  <r>
    <s v="OP034"/>
    <s v="REF009"/>
    <s v="Hyderabad"/>
    <x v="2"/>
    <s v="Material Request"/>
    <s v="Components"/>
    <n v="185"/>
    <x v="0"/>
    <d v="2026-03-31T00:00:00"/>
    <d v="2026-04-01T00:00:00"/>
  </r>
  <r>
    <s v="OP035"/>
    <s v="REF010"/>
    <s v="Hyderabad"/>
    <x v="0"/>
    <s v="Shipment Processing"/>
    <s v="Packaging Materials"/>
    <n v="115"/>
    <x v="0"/>
    <d v="2026-04-03T00:00:00"/>
    <d v="2026-04-04T00:00:00"/>
  </r>
  <r>
    <s v="OP036"/>
    <s v="REF011"/>
    <s v="Chennai"/>
    <x v="1"/>
    <s v="Quality Inspection"/>
    <s v="Raw Materials"/>
    <n v="105"/>
    <x v="0"/>
    <d v="2026-04-05T00:00:00"/>
    <d v="2026-04-07T00:00:00"/>
  </r>
  <r>
    <s v="OP037"/>
    <s v="REF012"/>
    <s v="Chennai"/>
    <x v="0"/>
    <s v="Inventory Review"/>
    <s v="Components"/>
    <n v="145"/>
    <x v="2"/>
    <d v="2026-04-08T00:00:00"/>
    <m/>
  </r>
  <r>
    <s v="OP038"/>
    <s v="REF013"/>
    <s v="Delhi"/>
    <x v="2"/>
    <s v="Material Request"/>
    <s v="Packaging Materials"/>
    <n v="175"/>
    <x v="0"/>
    <d v="2026-04-11T00:00:00"/>
    <d v="2026-04-12T00:00:00"/>
  </r>
  <r>
    <s v="OP039"/>
    <s v="REF014"/>
    <s v="Delhi"/>
    <x v="0"/>
    <s v="Shipment Processing"/>
    <s v="Finished Goods"/>
    <n v="78"/>
    <x v="0"/>
    <d v="2026-04-13T00:00:00"/>
    <d v="2026-04-15T00:00:00"/>
  </r>
  <r>
    <s v="OP040"/>
    <s v="REF015"/>
    <s v="Kolkata"/>
    <x v="3"/>
    <s v="Equipment Inspection"/>
    <s v="Equipment"/>
    <n v="13"/>
    <x v="0"/>
    <d v="2026-04-16T00:00:00"/>
    <d v="2026-04-17T00:00:00"/>
  </r>
  <r>
    <s v="OP041"/>
    <s v="REF016"/>
    <s v="Mumbai"/>
    <x v="1"/>
    <s v="Quality Inspection"/>
    <s v="Finished Goods"/>
    <n v="108"/>
    <x v="0"/>
    <d v="2026-04-18T00:00:00"/>
    <d v="2026-04-19T00:00:00"/>
  </r>
  <r>
    <s v="OP042"/>
    <s v="REF017"/>
    <s v="Pune"/>
    <x v="2"/>
    <s v="Material Request"/>
    <s v="Raw Materials"/>
    <n v="155"/>
    <x v="0"/>
    <d v="2026-04-21T00:00:00"/>
    <d v="2026-04-23T00:00:00"/>
  </r>
  <r>
    <s v="OP043"/>
    <s v="REF018"/>
    <s v="Bengaluru"/>
    <x v="0"/>
    <s v="Inventory Review"/>
    <s v="Components"/>
    <n v="125"/>
    <x v="0"/>
    <d v="2026-04-23T00:00:00"/>
    <d v="2026-04-24T00:00:00"/>
  </r>
  <r>
    <s v="OP044"/>
    <s v="REF019"/>
    <s v="Hyderabad"/>
    <x v="1"/>
    <s v="Quality Inspection"/>
    <s v="Packaging Materials"/>
    <n v="90"/>
    <x v="1"/>
    <d v="2026-04-26T00:00:00"/>
    <m/>
  </r>
  <r>
    <s v="OP045"/>
    <s v="REF020"/>
    <s v="Chennai"/>
    <x v="2"/>
    <s v="Material Request"/>
    <s v="Finished Goods"/>
    <n v="135"/>
    <x v="0"/>
    <d v="2026-04-29T00:00:00"/>
    <d v="2026-05-01T00:00:00"/>
  </r>
  <r>
    <s v="OP046"/>
    <s v="REF021"/>
    <s v="Delhi"/>
    <x v="1"/>
    <s v="Quality Inspection"/>
    <s v="Components"/>
    <n v="112"/>
    <x v="0"/>
    <d v="2026-05-01T00:00:00"/>
    <d v="2026-05-02T00:00:00"/>
  </r>
  <r>
    <s v="OP047"/>
    <s v="REF022"/>
    <s v="Kolkata"/>
    <x v="2"/>
    <s v="Material Request"/>
    <s v="Components"/>
    <n v="145"/>
    <x v="0"/>
    <d v="2026-05-04T00:00:00"/>
    <d v="2026-05-05T00:00:00"/>
  </r>
  <r>
    <s v="OP048"/>
    <s v="REF023"/>
    <s v="Mumbai"/>
    <x v="3"/>
    <s v="Equipment Inspection"/>
    <s v="Equipment"/>
    <n v="10"/>
    <x v="2"/>
    <d v="2026-05-06T00:00:00"/>
    <m/>
  </r>
  <r>
    <s v="OP049"/>
    <s v="REF024"/>
    <s v="Pune"/>
    <x v="0"/>
    <s v="Inventory Review"/>
    <s v="Raw Materials"/>
    <n v="195"/>
    <x v="0"/>
    <d v="2026-05-09T00:00:00"/>
    <d v="2026-05-10T00:00:00"/>
  </r>
  <r>
    <s v="OP050"/>
    <s v="REF025"/>
    <s v="Bengaluru"/>
    <x v="1"/>
    <s v="Quality Inspection"/>
    <s v="Finished Goods"/>
    <n v="94"/>
    <x v="0"/>
    <d v="2026-05-12T00:00:00"/>
    <d v="2026-05-13T00:00:00"/>
  </r>
  <r>
    <s v="OP051"/>
    <s v="REF001"/>
    <s v="Kolkata"/>
    <x v="0"/>
    <s v="Inventory Review"/>
    <s v="Raw Materials"/>
    <n v="155"/>
    <x v="0"/>
    <d v="2026-05-14T00:00:00"/>
    <d v="2026-05-16T00:00:00"/>
  </r>
  <r>
    <s v="OP052"/>
    <s v="REF002"/>
    <s v="Kolkata"/>
    <x v="1"/>
    <s v="Quality Inspection"/>
    <s v="Finished Goods"/>
    <n v="98"/>
    <x v="1"/>
    <d v="2026-05-17T00:00:00"/>
    <m/>
  </r>
  <r>
    <s v="OP053"/>
    <s v="REF003"/>
    <s v="Mumbai"/>
    <x v="0"/>
    <s v="Inventory Review"/>
    <s v="Packaging Materials"/>
    <n v="220"/>
    <x v="0"/>
    <d v="2026-05-19T00:00:00"/>
    <d v="2026-05-20T00:00:00"/>
  </r>
  <r>
    <s v="OP054"/>
    <s v="REF004"/>
    <s v="Mumbai"/>
    <x v="2"/>
    <s v="Material Request"/>
    <s v="Raw Materials"/>
    <n v="170"/>
    <x v="0"/>
    <d v="2026-05-22T00:00:00"/>
    <d v="2026-05-24T00:00:00"/>
  </r>
  <r>
    <s v="OP055"/>
    <s v="REF005"/>
    <s v="Pune"/>
    <x v="0"/>
    <s v="Shipment Processing"/>
    <s v="Finished Goods"/>
    <n v="85"/>
    <x v="0"/>
    <d v="2026-05-24T00:00:00"/>
    <d v="2026-05-25T00:00:00"/>
  </r>
  <r>
    <s v="OP056"/>
    <s v="REF006"/>
    <s v="Pune"/>
    <x v="1"/>
    <s v="Quality Inspection"/>
    <s v="Components"/>
    <n v="100"/>
    <x v="0"/>
    <d v="2026-05-27T00:00:00"/>
    <d v="2026-05-28T00:00:00"/>
  </r>
  <r>
    <s v="OP057"/>
    <s v="REF007"/>
    <s v="Bengaluru"/>
    <x v="0"/>
    <s v="Equipment Inspection"/>
    <s v="Equipment"/>
    <n v="15"/>
    <x v="0"/>
    <d v="2026-05-30T00:00:00"/>
    <d v="2026-06-01T00:00:00"/>
  </r>
  <r>
    <s v="OP058"/>
    <s v="REF008"/>
    <s v="Bengaluru"/>
    <x v="3"/>
    <s v="Equipment Inspection"/>
    <s v="Equipment"/>
    <n v="12"/>
    <x v="0"/>
    <d v="2026-06-01T00:00:00"/>
    <d v="2026-06-02T00:00:00"/>
  </r>
  <r>
    <s v="OP059"/>
    <s v="REF009"/>
    <s v="Hyderabad"/>
    <x v="2"/>
    <s v="Material Request"/>
    <s v="Components"/>
    <n v="195"/>
    <x v="2"/>
    <d v="2026-06-04T00:00:00"/>
    <m/>
  </r>
  <r>
    <s v="OP060"/>
    <s v="REF010"/>
    <s v="Hyderabad"/>
    <x v="0"/>
    <s v="Shipment Processing"/>
    <s v="Packaging Materials"/>
    <n v="120"/>
    <x v="0"/>
    <d v="2026-06-06T00:00:00"/>
    <d v="2026-06-08T00:00:00"/>
  </r>
  <r>
    <s v="OP061"/>
    <s v="REF011"/>
    <s v="Chennai"/>
    <x v="1"/>
    <s v="Quality Inspection"/>
    <s v="Raw Materials"/>
    <n v="110"/>
    <x v="0"/>
    <d v="2026-06-09T00:00:00"/>
    <d v="2026-06-10T00:00:00"/>
  </r>
  <r>
    <s v="OP062"/>
    <s v="REF012"/>
    <s v="Chennai"/>
    <x v="0"/>
    <s v="Inventory Review"/>
    <s v="Components"/>
    <n v="150"/>
    <x v="0"/>
    <d v="2026-06-12T00:00:00"/>
    <d v="2026-06-13T00:00:00"/>
  </r>
  <r>
    <s v="OP063"/>
    <s v="REF013"/>
    <s v="Delhi"/>
    <x v="2"/>
    <s v="Material Request"/>
    <s v="Packaging Materials"/>
    <n v="185"/>
    <x v="0"/>
    <d v="2026-06-14T00:00:00"/>
    <d v="2026-06-16T00:00:00"/>
  </r>
  <r>
    <s v="OP064"/>
    <s v="REF014"/>
    <s v="Delhi"/>
    <x v="0"/>
    <s v="Shipment Processing"/>
    <s v="Finished Goods"/>
    <n v="82"/>
    <x v="1"/>
    <d v="2026-06-17T00:00:00"/>
    <d v="2026-06-18T00:00:00"/>
  </r>
  <r>
    <s v="OP065"/>
    <s v="REF015"/>
    <s v="Kolkata"/>
    <x v="3"/>
    <s v="Equipment Inspection"/>
    <s v="Equipment"/>
    <n v="14"/>
    <x v="0"/>
    <d v="2026-06-19T00:00:00"/>
    <d v="2026-06-20T00:00:00"/>
  </r>
  <r>
    <s v="OP066"/>
    <s v="REF016"/>
    <s v="Mumbai"/>
    <x v="1"/>
    <s v="Quality Inspection"/>
    <s v="Finished Goods"/>
    <n v="115"/>
    <x v="0"/>
    <d v="2026-06-22T00:00:00"/>
    <d v="2026-06-24T00:00:00"/>
  </r>
  <r>
    <s v="OP067"/>
    <s v="REF017"/>
    <s v="Pune"/>
    <x v="2"/>
    <s v="Material Request"/>
    <s v="Raw Materials"/>
    <n v="165"/>
    <x v="0"/>
    <d v="2026-06-24T00:00:00"/>
    <d v="2026-06-25T00:00:00"/>
  </r>
  <r>
    <s v="OP068"/>
    <s v="REF018"/>
    <s v="Bengaluru"/>
    <x v="0"/>
    <s v="Inventory Review"/>
    <s v="Components"/>
    <n v="135"/>
    <x v="0"/>
    <d v="2026-06-27T00:00:00"/>
    <d v="2026-06-28T00:00:00"/>
  </r>
  <r>
    <s v="OP069"/>
    <s v="REF019"/>
    <s v="Hyderabad"/>
    <x v="1"/>
    <s v="Quality Inspection"/>
    <s v="Packaging Materials"/>
    <n v="95"/>
    <x v="0"/>
    <d v="2026-06-30T00:00:00"/>
    <d v="2026-07-02T00:00:00"/>
  </r>
  <r>
    <s v="OP070"/>
    <s v="REF020"/>
    <s v="Chennai"/>
    <x v="2"/>
    <s v="Material Request"/>
    <s v="Finished Goods"/>
    <n v="145"/>
    <x v="0"/>
    <d v="2026-07-02T00:00:00"/>
    <d v="2026-07-03T00:00:00"/>
  </r>
  <r>
    <s v="OP071"/>
    <s v="REF021"/>
    <s v="Delhi"/>
    <x v="1"/>
    <s v="Quality Inspection"/>
    <s v="Components"/>
    <n v="120"/>
    <x v="2"/>
    <d v="2026-07-05T00:00:00"/>
    <m/>
  </r>
  <r>
    <s v="OP072"/>
    <s v="REF022"/>
    <s v="Kolkata"/>
    <x v="2"/>
    <s v="Material Request"/>
    <s v="Components"/>
    <n v="155"/>
    <x v="0"/>
    <d v="2026-07-07T00:00:00"/>
    <d v="2026-07-09T00:00:00"/>
  </r>
  <r>
    <s v="OP073"/>
    <s v="REF023"/>
    <s v="Mumbai"/>
    <x v="3"/>
    <s v="Equipment Inspection"/>
    <s v="Equipment"/>
    <n v="11"/>
    <x v="1"/>
    <d v="2026-07-10T00:00:00"/>
    <m/>
  </r>
  <r>
    <s v="OP074"/>
    <s v="REF024"/>
    <s v="Pune"/>
    <x v="0"/>
    <s v="Inventory Review"/>
    <s v="Raw Materials"/>
    <n v="205"/>
    <x v="0"/>
    <d v="2026-07-13T00:00:00"/>
    <d v="2026-07-14T00:00:00"/>
  </r>
  <r>
    <s v="OP075"/>
    <s v="REF025"/>
    <s v="Bengaluru"/>
    <x v="1"/>
    <s v="Quality Inspection"/>
    <s v="Finished Goods"/>
    <n v="102"/>
    <x v="0"/>
    <d v="2026-07-15T00:00:00"/>
    <d v="2026-07-17T00:00:00"/>
  </r>
  <r>
    <s v="OP076"/>
    <s v="REF004"/>
    <s v="Mumbai"/>
    <x v="2"/>
    <s v="Material Request"/>
    <s v="Raw Materials"/>
    <n v="180"/>
    <x v="0"/>
    <d v="2026-07-18T00:00:00"/>
    <d v="2026-07-19T00:00:00"/>
  </r>
  <r>
    <s v="OP077"/>
    <s v="REF010"/>
    <s v="Hyderabad"/>
    <x v="0"/>
    <s v="Shipment Processing"/>
    <s v="Packaging Materials"/>
    <n v="125"/>
    <x v="0"/>
    <d v="2026-07-20T00:00:00"/>
    <d v="2026-07-21T00:00:00"/>
  </r>
  <r>
    <s v="OP078"/>
    <s v="REF016"/>
    <s v="Mumbai"/>
    <x v="1"/>
    <s v="Quality Inspection"/>
    <s v="Finished Goods"/>
    <n v="118"/>
    <x v="1"/>
    <d v="2026-07-23T00:00:00"/>
    <m/>
  </r>
  <r>
    <s v="OP079"/>
    <s v="REF022"/>
    <s v="Kolkata"/>
    <x v="2"/>
    <s v="Material Request"/>
    <s v="Components"/>
    <n v="160"/>
    <x v="0"/>
    <d v="2026-07-25T00:00:00"/>
    <d v="2026-07-26T00:00:00"/>
  </r>
  <r>
    <s v="OP080"/>
    <s v="REF007"/>
    <s v="Bengaluru"/>
    <x v="0"/>
    <s v="Equipment Inspection"/>
    <s v="Equipment"/>
    <n v="16"/>
    <x v="0"/>
    <d v="2026-07-28T00:00:00"/>
    <d v="2026-07-29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s v="REF001"/>
    <x v="0"/>
    <x v="0"/>
    <x v="0"/>
    <x v="0"/>
    <x v="0"/>
  </r>
  <r>
    <s v="REF002"/>
    <x v="0"/>
    <x v="1"/>
    <x v="1"/>
    <x v="1"/>
    <x v="0"/>
  </r>
  <r>
    <s v="REF003"/>
    <x v="1"/>
    <x v="0"/>
    <x v="0"/>
    <x v="2"/>
    <x v="0"/>
  </r>
  <r>
    <s v="REF004"/>
    <x v="1"/>
    <x v="2"/>
    <x v="2"/>
    <x v="0"/>
    <x v="0"/>
  </r>
  <r>
    <s v="REF005"/>
    <x v="2"/>
    <x v="0"/>
    <x v="3"/>
    <x v="1"/>
    <x v="0"/>
  </r>
  <r>
    <s v="REF006"/>
    <x v="2"/>
    <x v="1"/>
    <x v="1"/>
    <x v="3"/>
    <x v="0"/>
  </r>
  <r>
    <s v="REF007"/>
    <x v="3"/>
    <x v="0"/>
    <x v="4"/>
    <x v="4"/>
    <x v="0"/>
  </r>
  <r>
    <s v="REF008"/>
    <x v="3"/>
    <x v="3"/>
    <x v="4"/>
    <x v="4"/>
    <x v="0"/>
  </r>
  <r>
    <s v="REF009"/>
    <x v="4"/>
    <x v="2"/>
    <x v="2"/>
    <x v="3"/>
    <x v="0"/>
  </r>
  <r>
    <s v="REF010"/>
    <x v="4"/>
    <x v="0"/>
    <x v="3"/>
    <x v="2"/>
    <x v="0"/>
  </r>
  <r>
    <s v="REF011"/>
    <x v="5"/>
    <x v="1"/>
    <x v="1"/>
    <x v="0"/>
    <x v="0"/>
  </r>
  <r>
    <s v="REF012"/>
    <x v="5"/>
    <x v="0"/>
    <x v="0"/>
    <x v="3"/>
    <x v="0"/>
  </r>
  <r>
    <s v="REF013"/>
    <x v="6"/>
    <x v="2"/>
    <x v="2"/>
    <x v="2"/>
    <x v="0"/>
  </r>
  <r>
    <s v="REF014"/>
    <x v="6"/>
    <x v="0"/>
    <x v="3"/>
    <x v="1"/>
    <x v="0"/>
  </r>
  <r>
    <s v="REF015"/>
    <x v="0"/>
    <x v="3"/>
    <x v="4"/>
    <x v="4"/>
    <x v="0"/>
  </r>
  <r>
    <s v="REF016"/>
    <x v="1"/>
    <x v="1"/>
    <x v="1"/>
    <x v="1"/>
    <x v="0"/>
  </r>
  <r>
    <s v="REF017"/>
    <x v="2"/>
    <x v="2"/>
    <x v="2"/>
    <x v="0"/>
    <x v="0"/>
  </r>
  <r>
    <s v="REF018"/>
    <x v="3"/>
    <x v="0"/>
    <x v="0"/>
    <x v="3"/>
    <x v="0"/>
  </r>
  <r>
    <s v="REF019"/>
    <x v="4"/>
    <x v="1"/>
    <x v="1"/>
    <x v="2"/>
    <x v="0"/>
  </r>
  <r>
    <s v="REF020"/>
    <x v="5"/>
    <x v="2"/>
    <x v="2"/>
    <x v="1"/>
    <x v="0"/>
  </r>
  <r>
    <s v="REF021"/>
    <x v="6"/>
    <x v="1"/>
    <x v="1"/>
    <x v="3"/>
    <x v="0"/>
  </r>
  <r>
    <s v="REF022"/>
    <x v="0"/>
    <x v="2"/>
    <x v="2"/>
    <x v="3"/>
    <x v="0"/>
  </r>
  <r>
    <s v="REF023"/>
    <x v="1"/>
    <x v="3"/>
    <x v="4"/>
    <x v="4"/>
    <x v="0"/>
  </r>
  <r>
    <s v="REF024"/>
    <x v="2"/>
    <x v="0"/>
    <x v="0"/>
    <x v="0"/>
    <x v="0"/>
  </r>
  <r>
    <s v="REF025"/>
    <x v="3"/>
    <x v="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Items Category">
  <location ref="A3:B9" firstHeaderRow="1" firstDataRow="1" firstDataCol="1"/>
  <pivotFields count="6">
    <pivotField dataField="1" showAll="0"/>
    <pivotField showAll="0">
      <items count="8">
        <item x="3"/>
        <item x="5"/>
        <item x="6"/>
        <item x="4"/>
        <item x="0"/>
        <item x="1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Row" showAll="0">
      <items count="6">
        <item x="3"/>
        <item x="4"/>
        <item x="1"/>
        <item x="2"/>
        <item x="0"/>
        <item t="default"/>
      </items>
    </pivotField>
    <pivotField showAll="0">
      <items count="2"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ence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23" rowHeaderCaption="Department" colHeaderCaption="Status">
  <location ref="A3:E9" firstHeaderRow="1" firstDataRow="2" firstDataCol="1"/>
  <pivotFields count="10">
    <pivotField dataField="1" compact="0" outline="0" showAll="0" defaultSubtota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5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Operation ID" fld="0" subtotal="count" baseField="0" baseItem="0"/>
  </dataFields>
  <chartFormats count="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opLeftCell="M60" workbookViewId="0">
      <selection activeCell="N88" sqref="N88"/>
    </sheetView>
  </sheetViews>
  <sheetFormatPr defaultRowHeight="14.4" x14ac:dyDescent="0.3"/>
  <cols>
    <col min="1" max="1" width="13.77734375" bestFit="1" customWidth="1"/>
    <col min="2" max="2" width="11.5546875" bestFit="1" customWidth="1"/>
    <col min="3" max="3" width="9.77734375" bestFit="1" customWidth="1"/>
    <col min="4" max="4" width="11.6640625" bestFit="1" customWidth="1"/>
    <col min="5" max="5" width="18.77734375" bestFit="1" customWidth="1"/>
    <col min="6" max="6" width="17.33203125" bestFit="1" customWidth="1"/>
    <col min="8" max="8" width="11.6640625" customWidth="1"/>
    <col min="9" max="9" width="11.88671875" bestFit="1" customWidth="1"/>
    <col min="10" max="10" width="14.88671875" bestFit="1" customWidth="1"/>
    <col min="12" max="12" width="28.44140625" style="2" bestFit="1" customWidth="1"/>
    <col min="13" max="13" width="29.5546875" style="2" bestFit="1" customWidth="1"/>
    <col min="14" max="14" width="17" style="2" bestFit="1" customWidth="1"/>
    <col min="15" max="15" width="12" style="1" bestFit="1" customWidth="1"/>
    <col min="16" max="16" width="16.21875" style="2" bestFit="1" customWidth="1"/>
    <col min="17" max="17" width="17" style="2" bestFit="1" customWidth="1"/>
    <col min="18" max="18" width="18.109375" style="2" bestFit="1" customWidth="1"/>
    <col min="19" max="19" width="15.5546875" style="1" bestFit="1" customWidth="1"/>
  </cols>
  <sheetData>
    <row r="1" spans="1:19" x14ac:dyDescent="0.3">
      <c r="A1" s="1" t="s">
        <v>146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53</v>
      </c>
      <c r="H1" s="1" t="s">
        <v>54</v>
      </c>
      <c r="I1" s="1" t="s">
        <v>55</v>
      </c>
      <c r="J1" s="1" t="s">
        <v>56</v>
      </c>
      <c r="L1" s="2" t="s">
        <v>149</v>
      </c>
      <c r="M1" t="s">
        <v>150</v>
      </c>
      <c r="N1" s="2" t="s">
        <v>154</v>
      </c>
      <c r="O1" s="1" t="s">
        <v>155</v>
      </c>
      <c r="P1" s="2" t="s">
        <v>156</v>
      </c>
      <c r="Q1" s="2" t="s">
        <v>157</v>
      </c>
      <c r="R1" s="2" t="s">
        <v>158</v>
      </c>
      <c r="S1" s="1" t="s">
        <v>159</v>
      </c>
    </row>
    <row r="2" spans="1:19" x14ac:dyDescent="0.3">
      <c r="A2" s="1" t="s">
        <v>57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>
        <v>120</v>
      </c>
      <c r="H2" s="1" t="s">
        <v>58</v>
      </c>
      <c r="I2" s="3">
        <v>46027</v>
      </c>
      <c r="J2" s="3">
        <v>46028</v>
      </c>
      <c r="L2" s="2" t="str">
        <f>IF(A2="OP"&amp;TEXT(ROW()-1,"000"),"OK","CHECK")</f>
        <v>OK</v>
      </c>
      <c r="M2" s="2" t="str">
        <f>IF(OR(AND(H2="Completed",J2&lt;&gt;""),AND(OR(H2="Pending",H2="In Progress"),J2="")),"OK","CHECK")</f>
        <v>OK</v>
      </c>
      <c r="N2" s="2" t="str">
        <f>IFERROR(IF(VLOOKUP(B2,'Reference Data'!$A$2:$F$26,1,FALSE)=B2,"OK","CHECK"),"MISSING")</f>
        <v>OK</v>
      </c>
      <c r="O2" s="1" t="str">
        <f>IFERROR(IF(C2=VLOOKUP(B2,'Reference Data'!$A$2:$F$26,2,FALSE),"OK","CHECK"),"MISSING")</f>
        <v>OK</v>
      </c>
      <c r="P2" s="2" t="str">
        <f>IFERROR(IF(D2=VLOOKUP(B2,'Reference Data'!$A$2:$F$26,3,FALSE),"OK","CHECK"),"MISSING")</f>
        <v>OK</v>
      </c>
      <c r="Q2" s="2" t="str">
        <f>IFERROR(IF(E2=VLOOKUP(B2,'Reference Data'!$A$2:$F$26,4,FALSE),"OK","CHECK"),"MISSING")</f>
        <v>OK</v>
      </c>
      <c r="R2" s="2" t="str">
        <f>IFERROR(IF(F2=VLOOKUP(B2,'Reference Data'!$A$2:$F$26,5,FALSE),"OK","CHECK"),"MISSING")</f>
        <v>OK</v>
      </c>
      <c r="S2" s="1" t="str">
        <f>IF(AND(L2="OK",M2="OK",N2="OK",O2="OK",P2="OK",Q2="OK",R2="OK"),"OK","REVIEW")</f>
        <v>OK</v>
      </c>
    </row>
    <row r="3" spans="1:19" x14ac:dyDescent="0.3">
      <c r="A3" s="1" t="s">
        <v>59</v>
      </c>
      <c r="B3" s="1" t="s">
        <v>12</v>
      </c>
      <c r="C3" s="1" t="s">
        <v>7</v>
      </c>
      <c r="D3" s="1" t="s">
        <v>13</v>
      </c>
      <c r="E3" s="1" t="s">
        <v>14</v>
      </c>
      <c r="F3" s="1" t="s">
        <v>15</v>
      </c>
      <c r="G3" s="1">
        <v>85</v>
      </c>
      <c r="H3" s="1" t="s">
        <v>58</v>
      </c>
      <c r="I3" s="3">
        <v>46030</v>
      </c>
      <c r="J3" s="3">
        <v>46031</v>
      </c>
      <c r="L3" s="2" t="str">
        <f>IF(A3="OP"&amp;TEXT(ROW()-1,"000"),"OK","CHECK")</f>
        <v>OK</v>
      </c>
      <c r="M3" s="2" t="str">
        <f t="shared" ref="M3:M66" si="0">IF(OR(AND(H3="Completed",J3&lt;&gt;""),AND(OR(H3="Pending",H3="In Progress"),J3="")),"OK","CHECK")</f>
        <v>OK</v>
      </c>
      <c r="N3" s="2" t="str">
        <f>IFERROR(IF(VLOOKUP(B3,'Reference Data'!$A$2:$F$26,1,FALSE)=B3,"OK","CHECK"),"MISSING")</f>
        <v>OK</v>
      </c>
      <c r="O3" s="1" t="str">
        <f>IFERROR(IF(C3=VLOOKUP(B3,'Reference Data'!$A$2:$F$26,2,FALSE),"OK","CHECK"),"MISSING")</f>
        <v>OK</v>
      </c>
      <c r="P3" s="2" t="str">
        <f>IFERROR(IF(D3=VLOOKUP(B3,'Reference Data'!$A$2:$F$26,3,FALSE),"OK","CHECK"),"MISSING")</f>
        <v>OK</v>
      </c>
      <c r="Q3" s="2" t="str">
        <f>IFERROR(IF(E3=VLOOKUP(B3,'Reference Data'!$A$2:$F$26,4,FALSE),"OK","CHECK"),"MISSING")</f>
        <v>OK</v>
      </c>
      <c r="R3" s="2" t="str">
        <f>IFERROR(IF(F3=VLOOKUP(B3,'Reference Data'!$A$2:$F$26,5,FALSE),"OK","CHECK"),"MISSING")</f>
        <v>OK</v>
      </c>
      <c r="S3" s="1" t="str">
        <f t="shared" ref="S3:S66" si="1">IF(AND(L3="OK",M3="OK",N3="OK",O3="OK",P3="OK",Q3="OK",R3="OK"),"OK","REVIEW")</f>
        <v>OK</v>
      </c>
    </row>
    <row r="4" spans="1:19" x14ac:dyDescent="0.3">
      <c r="A4" s="1" t="s">
        <v>60</v>
      </c>
      <c r="B4" s="1" t="s">
        <v>16</v>
      </c>
      <c r="C4" s="1" t="s">
        <v>17</v>
      </c>
      <c r="D4" s="1" t="s">
        <v>8</v>
      </c>
      <c r="E4" s="1" t="s">
        <v>9</v>
      </c>
      <c r="F4" s="1" t="s">
        <v>18</v>
      </c>
      <c r="G4" s="1">
        <v>200</v>
      </c>
      <c r="H4" s="1" t="s">
        <v>58</v>
      </c>
      <c r="I4" s="3">
        <v>46032</v>
      </c>
      <c r="J4" s="3">
        <v>46034</v>
      </c>
      <c r="L4" s="2" t="str">
        <f t="shared" ref="L4:L67" si="2">IF(A4="OP"&amp;TEXT(ROW()-1,"000"),"OK","CHECK")</f>
        <v>OK</v>
      </c>
      <c r="M4" s="2" t="str">
        <f t="shared" si="0"/>
        <v>OK</v>
      </c>
      <c r="N4" s="2" t="str">
        <f>IFERROR(IF(VLOOKUP(B4,'Reference Data'!$A$2:$F$26,1,FALSE)=B4,"OK","CHECK"),"MISSING")</f>
        <v>OK</v>
      </c>
      <c r="O4" s="1" t="str">
        <f>IFERROR(IF(C4=VLOOKUP(B4,'Reference Data'!$A$2:$F$26,2,FALSE),"OK","CHECK"),"MISSING")</f>
        <v>OK</v>
      </c>
      <c r="P4" s="2" t="str">
        <f>IFERROR(IF(D4=VLOOKUP(B4,'Reference Data'!$A$2:$F$26,3,FALSE),"OK","CHECK"),"MISSING")</f>
        <v>OK</v>
      </c>
      <c r="Q4" s="2" t="str">
        <f>IFERROR(IF(E4=VLOOKUP(B4,'Reference Data'!$A$2:$F$26,4,FALSE),"OK","CHECK"),"MISSING")</f>
        <v>OK</v>
      </c>
      <c r="R4" s="2" t="str">
        <f>IFERROR(IF(F4=VLOOKUP(B4,'Reference Data'!$A$2:$F$26,5,FALSE),"OK","CHECK"),"MISSING")</f>
        <v>OK</v>
      </c>
      <c r="S4" s="1" t="str">
        <f t="shared" si="1"/>
        <v>OK</v>
      </c>
    </row>
    <row r="5" spans="1:19" x14ac:dyDescent="0.3">
      <c r="A5" s="1" t="s">
        <v>61</v>
      </c>
      <c r="B5" s="1" t="s">
        <v>19</v>
      </c>
      <c r="C5" s="1" t="s">
        <v>17</v>
      </c>
      <c r="D5" s="1" t="s">
        <v>20</v>
      </c>
      <c r="E5" s="1" t="s">
        <v>21</v>
      </c>
      <c r="F5" s="1" t="s">
        <v>10</v>
      </c>
      <c r="G5" s="1">
        <v>150</v>
      </c>
      <c r="H5" s="1" t="s">
        <v>58</v>
      </c>
      <c r="I5" s="3">
        <v>46035</v>
      </c>
      <c r="J5" s="3">
        <v>46036</v>
      </c>
      <c r="L5" s="2" t="str">
        <f t="shared" si="2"/>
        <v>OK</v>
      </c>
      <c r="M5" s="2" t="str">
        <f t="shared" si="0"/>
        <v>OK</v>
      </c>
      <c r="N5" s="2" t="str">
        <f>IFERROR(IF(VLOOKUP(B5,'Reference Data'!$A$2:$F$26,1,FALSE)=B5,"OK","CHECK"),"MISSING")</f>
        <v>OK</v>
      </c>
      <c r="O5" s="1" t="str">
        <f>IFERROR(IF(C5=VLOOKUP(B5,'Reference Data'!$A$2:$F$26,2,FALSE),"OK","CHECK"),"MISSING")</f>
        <v>OK</v>
      </c>
      <c r="P5" s="2" t="str">
        <f>IFERROR(IF(D5=VLOOKUP(B5,'Reference Data'!$A$2:$F$26,3,FALSE),"OK","CHECK"),"MISSING")</f>
        <v>OK</v>
      </c>
      <c r="Q5" s="2" t="str">
        <f>IFERROR(IF(E5=VLOOKUP(B5,'Reference Data'!$A$2:$F$26,4,FALSE),"OK","CHECK"),"MISSING")</f>
        <v>OK</v>
      </c>
      <c r="R5" s="2" t="str">
        <f>IFERROR(IF(F5=VLOOKUP(B5,'Reference Data'!$A$2:$F$26,5,FALSE),"OK","CHECK"),"MISSING")</f>
        <v>OK</v>
      </c>
      <c r="S5" s="1" t="str">
        <f t="shared" si="1"/>
        <v>OK</v>
      </c>
    </row>
    <row r="6" spans="1:19" x14ac:dyDescent="0.3">
      <c r="A6" s="1" t="s">
        <v>62</v>
      </c>
      <c r="B6" s="1" t="s">
        <v>22</v>
      </c>
      <c r="C6" s="1" t="s">
        <v>23</v>
      </c>
      <c r="D6" s="1" t="s">
        <v>8</v>
      </c>
      <c r="E6" s="1" t="s">
        <v>24</v>
      </c>
      <c r="F6" s="1" t="s">
        <v>15</v>
      </c>
      <c r="G6" s="1">
        <v>75</v>
      </c>
      <c r="H6" s="1" t="s">
        <v>58</v>
      </c>
      <c r="I6" s="3">
        <v>46037</v>
      </c>
      <c r="J6" s="3">
        <v>46038</v>
      </c>
      <c r="L6" s="2" t="str">
        <f t="shared" si="2"/>
        <v>OK</v>
      </c>
      <c r="M6" s="2" t="str">
        <f t="shared" si="0"/>
        <v>OK</v>
      </c>
      <c r="N6" s="2" t="str">
        <f>IFERROR(IF(VLOOKUP(B6,'Reference Data'!$A$2:$F$26,1,FALSE)=B6,"OK","CHECK"),"MISSING")</f>
        <v>OK</v>
      </c>
      <c r="O6" s="1" t="str">
        <f>IFERROR(IF(C6=VLOOKUP(B6,'Reference Data'!$A$2:$F$26,2,FALSE),"OK","CHECK"),"MISSING")</f>
        <v>OK</v>
      </c>
      <c r="P6" s="2" t="str">
        <f>IFERROR(IF(D6=VLOOKUP(B6,'Reference Data'!$A$2:$F$26,3,FALSE),"OK","CHECK"),"MISSING")</f>
        <v>OK</v>
      </c>
      <c r="Q6" s="2" t="str">
        <f>IFERROR(IF(E6=VLOOKUP(B6,'Reference Data'!$A$2:$F$26,4,FALSE),"OK","CHECK"),"MISSING")</f>
        <v>OK</v>
      </c>
      <c r="R6" s="2" t="str">
        <f>IFERROR(IF(F6=VLOOKUP(B6,'Reference Data'!$A$2:$F$26,5,FALSE),"OK","CHECK"),"MISSING")</f>
        <v>OK</v>
      </c>
      <c r="S6" s="1" t="str">
        <f t="shared" si="1"/>
        <v>OK</v>
      </c>
    </row>
    <row r="7" spans="1:19" x14ac:dyDescent="0.3">
      <c r="A7" s="1" t="s">
        <v>63</v>
      </c>
      <c r="B7" s="1" t="s">
        <v>25</v>
      </c>
      <c r="C7" s="1" t="s">
        <v>23</v>
      </c>
      <c r="D7" s="1" t="s">
        <v>13</v>
      </c>
      <c r="E7" s="1" t="s">
        <v>14</v>
      </c>
      <c r="F7" s="1" t="s">
        <v>26</v>
      </c>
      <c r="G7" s="1">
        <v>90</v>
      </c>
      <c r="H7" s="1" t="s">
        <v>140</v>
      </c>
      <c r="I7" s="3">
        <v>46040</v>
      </c>
      <c r="J7" s="3"/>
      <c r="L7" s="2" t="str">
        <f t="shared" si="2"/>
        <v>OK</v>
      </c>
      <c r="M7" s="2" t="str">
        <f t="shared" si="0"/>
        <v>OK</v>
      </c>
      <c r="N7" s="2" t="str">
        <f>IFERROR(IF(VLOOKUP(B7,'Reference Data'!$A$2:$F$26,1,FALSE)=B7,"OK","CHECK"),"MISSING")</f>
        <v>OK</v>
      </c>
      <c r="O7" s="1" t="str">
        <f>IFERROR(IF(C7=VLOOKUP(B7,'Reference Data'!$A$2:$F$26,2,FALSE),"OK","CHECK"),"MISSING")</f>
        <v>OK</v>
      </c>
      <c r="P7" s="2" t="str">
        <f>IFERROR(IF(D7=VLOOKUP(B7,'Reference Data'!$A$2:$F$26,3,FALSE),"OK","CHECK"),"MISSING")</f>
        <v>OK</v>
      </c>
      <c r="Q7" s="2" t="str">
        <f>IFERROR(IF(E7=VLOOKUP(B7,'Reference Data'!$A$2:$F$26,4,FALSE),"OK","CHECK"),"MISSING")</f>
        <v>OK</v>
      </c>
      <c r="R7" s="2" t="str">
        <f>IFERROR(IF(F7=VLOOKUP(B7,'Reference Data'!$A$2:$F$26,5,FALSE),"OK","CHECK"),"MISSING")</f>
        <v>OK</v>
      </c>
      <c r="S7" s="1" t="str">
        <f t="shared" si="1"/>
        <v>OK</v>
      </c>
    </row>
    <row r="8" spans="1:19" x14ac:dyDescent="0.3">
      <c r="A8" s="1" t="s">
        <v>64</v>
      </c>
      <c r="B8" s="1" t="s">
        <v>27</v>
      </c>
      <c r="C8" s="1" t="s">
        <v>28</v>
      </c>
      <c r="D8" s="1" t="s">
        <v>8</v>
      </c>
      <c r="E8" s="1" t="s">
        <v>29</v>
      </c>
      <c r="F8" s="1" t="s">
        <v>30</v>
      </c>
      <c r="G8" s="1">
        <v>12</v>
      </c>
      <c r="H8" s="1" t="s">
        <v>58</v>
      </c>
      <c r="I8" s="3">
        <v>46042</v>
      </c>
      <c r="J8" s="3">
        <v>46043</v>
      </c>
      <c r="L8" s="2" t="str">
        <f t="shared" si="2"/>
        <v>OK</v>
      </c>
      <c r="M8" s="2" t="str">
        <f t="shared" si="0"/>
        <v>OK</v>
      </c>
      <c r="N8" s="2" t="str">
        <f>IFERROR(IF(VLOOKUP(B8,'Reference Data'!$A$2:$F$26,1,FALSE)=B8,"OK","CHECK"),"MISSING")</f>
        <v>OK</v>
      </c>
      <c r="O8" s="1" t="str">
        <f>IFERROR(IF(C8=VLOOKUP(B8,'Reference Data'!$A$2:$F$26,2,FALSE),"OK","CHECK"),"MISSING")</f>
        <v>OK</v>
      </c>
      <c r="P8" s="2" t="str">
        <f>IFERROR(IF(D8=VLOOKUP(B8,'Reference Data'!$A$2:$F$26,3,FALSE),"OK","CHECK"),"MISSING")</f>
        <v>OK</v>
      </c>
      <c r="Q8" s="2" t="str">
        <f>IFERROR(IF(E8=VLOOKUP(B8,'Reference Data'!$A$2:$F$26,4,FALSE),"OK","CHECK"),"MISSING")</f>
        <v>OK</v>
      </c>
      <c r="R8" s="2" t="str">
        <f>IFERROR(IF(F8=VLOOKUP(B8,'Reference Data'!$A$2:$F$26,5,FALSE),"OK","CHECK"),"MISSING")</f>
        <v>OK</v>
      </c>
      <c r="S8" s="1" t="str">
        <f t="shared" si="1"/>
        <v>OK</v>
      </c>
    </row>
    <row r="9" spans="1:19" x14ac:dyDescent="0.3">
      <c r="A9" s="1" t="s">
        <v>65</v>
      </c>
      <c r="B9" s="1" t="s">
        <v>31</v>
      </c>
      <c r="C9" s="1" t="s">
        <v>28</v>
      </c>
      <c r="D9" s="1" t="s">
        <v>32</v>
      </c>
      <c r="E9" s="1" t="s">
        <v>29</v>
      </c>
      <c r="F9" s="1" t="s">
        <v>30</v>
      </c>
      <c r="G9" s="1">
        <v>8</v>
      </c>
      <c r="H9" s="1" t="s">
        <v>58</v>
      </c>
      <c r="I9" s="3">
        <v>46045</v>
      </c>
      <c r="J9" s="3">
        <v>46046</v>
      </c>
      <c r="L9" s="2" t="str">
        <f t="shared" si="2"/>
        <v>OK</v>
      </c>
      <c r="M9" s="2" t="str">
        <f t="shared" si="0"/>
        <v>OK</v>
      </c>
      <c r="N9" s="2" t="str">
        <f>IFERROR(IF(VLOOKUP(B9,'Reference Data'!$A$2:$F$26,1,FALSE)=B9,"OK","CHECK"),"MISSING")</f>
        <v>OK</v>
      </c>
      <c r="O9" s="1" t="str">
        <f>IFERROR(IF(C9=VLOOKUP(B9,'Reference Data'!$A$2:$F$26,2,FALSE),"OK","CHECK"),"MISSING")</f>
        <v>OK</v>
      </c>
      <c r="P9" s="2" t="str">
        <f>IFERROR(IF(D9=VLOOKUP(B9,'Reference Data'!$A$2:$F$26,3,FALSE),"OK","CHECK"),"MISSING")</f>
        <v>OK</v>
      </c>
      <c r="Q9" s="2" t="str">
        <f>IFERROR(IF(E9=VLOOKUP(B9,'Reference Data'!$A$2:$F$26,4,FALSE),"OK","CHECK"),"MISSING")</f>
        <v>OK</v>
      </c>
      <c r="R9" s="2" t="str">
        <f>IFERROR(IF(F9=VLOOKUP(B9,'Reference Data'!$A$2:$F$26,5,FALSE),"OK","CHECK"),"MISSING")</f>
        <v>OK</v>
      </c>
      <c r="S9" s="1" t="str">
        <f t="shared" si="1"/>
        <v>OK</v>
      </c>
    </row>
    <row r="10" spans="1:19" x14ac:dyDescent="0.3">
      <c r="A10" s="1" t="s">
        <v>66</v>
      </c>
      <c r="B10" s="1" t="s">
        <v>33</v>
      </c>
      <c r="C10" s="1" t="s">
        <v>34</v>
      </c>
      <c r="D10" s="1" t="s">
        <v>20</v>
      </c>
      <c r="E10" s="1" t="s">
        <v>21</v>
      </c>
      <c r="F10" s="1" t="s">
        <v>26</v>
      </c>
      <c r="G10" s="1">
        <v>175</v>
      </c>
      <c r="H10" s="1" t="s">
        <v>58</v>
      </c>
      <c r="I10" s="3">
        <v>46048</v>
      </c>
      <c r="J10" s="3">
        <v>46050</v>
      </c>
      <c r="L10" s="2" t="str">
        <f t="shared" si="2"/>
        <v>OK</v>
      </c>
      <c r="M10" s="2" t="str">
        <f t="shared" si="0"/>
        <v>OK</v>
      </c>
      <c r="N10" s="2" t="str">
        <f>IFERROR(IF(VLOOKUP(B10,'Reference Data'!$A$2:$F$26,1,FALSE)=B10,"OK","CHECK"),"MISSING")</f>
        <v>OK</v>
      </c>
      <c r="O10" s="1" t="str">
        <f>IFERROR(IF(C10=VLOOKUP(B10,'Reference Data'!$A$2:$F$26,2,FALSE),"OK","CHECK"),"MISSING")</f>
        <v>OK</v>
      </c>
      <c r="P10" s="2" t="str">
        <f>IFERROR(IF(D10=VLOOKUP(B10,'Reference Data'!$A$2:$F$26,3,FALSE),"OK","CHECK"),"MISSING")</f>
        <v>OK</v>
      </c>
      <c r="Q10" s="2" t="str">
        <f>IFERROR(IF(E10=VLOOKUP(B10,'Reference Data'!$A$2:$F$26,4,FALSE),"OK","CHECK"),"MISSING")</f>
        <v>OK</v>
      </c>
      <c r="R10" s="2" t="str">
        <f>IFERROR(IF(F10=VLOOKUP(B10,'Reference Data'!$A$2:$F$26,5,FALSE),"OK","CHECK"),"MISSING")</f>
        <v>OK</v>
      </c>
      <c r="S10" s="1" t="str">
        <f t="shared" si="1"/>
        <v>OK</v>
      </c>
    </row>
    <row r="11" spans="1:19" x14ac:dyDescent="0.3">
      <c r="A11" s="1" t="s">
        <v>67</v>
      </c>
      <c r="B11" s="1" t="s">
        <v>35</v>
      </c>
      <c r="C11" s="1" t="s">
        <v>34</v>
      </c>
      <c r="D11" s="1" t="s">
        <v>8</v>
      </c>
      <c r="E11" s="1" t="s">
        <v>24</v>
      </c>
      <c r="F11" s="1" t="s">
        <v>18</v>
      </c>
      <c r="G11" s="1">
        <v>110</v>
      </c>
      <c r="H11" s="1" t="s">
        <v>58</v>
      </c>
      <c r="I11" s="3">
        <v>46050</v>
      </c>
      <c r="J11" s="3">
        <v>46051</v>
      </c>
      <c r="L11" s="2" t="str">
        <f t="shared" si="2"/>
        <v>OK</v>
      </c>
      <c r="M11" s="2" t="str">
        <f t="shared" si="0"/>
        <v>OK</v>
      </c>
      <c r="N11" s="2" t="str">
        <f>IFERROR(IF(VLOOKUP(B11,'Reference Data'!$A$2:$F$26,1,FALSE)=B11,"OK","CHECK"),"MISSING")</f>
        <v>OK</v>
      </c>
      <c r="O11" s="1" t="str">
        <f>IFERROR(IF(C11=VLOOKUP(B11,'Reference Data'!$A$2:$F$26,2,FALSE),"OK","CHECK"),"MISSING")</f>
        <v>OK</v>
      </c>
      <c r="P11" s="2" t="str">
        <f>IFERROR(IF(D11=VLOOKUP(B11,'Reference Data'!$A$2:$F$26,3,FALSE),"OK","CHECK"),"MISSING")</f>
        <v>OK</v>
      </c>
      <c r="Q11" s="2" t="str">
        <f>IFERROR(IF(E11=VLOOKUP(B11,'Reference Data'!$A$2:$F$26,4,FALSE),"OK","CHECK"),"MISSING")</f>
        <v>OK</v>
      </c>
      <c r="R11" s="2" t="str">
        <f>IFERROR(IF(F11=VLOOKUP(B11,'Reference Data'!$A$2:$F$26,5,FALSE),"OK","CHECK"),"MISSING")</f>
        <v>OK</v>
      </c>
      <c r="S11" s="1" t="str">
        <f t="shared" si="1"/>
        <v>OK</v>
      </c>
    </row>
    <row r="12" spans="1:19" x14ac:dyDescent="0.3">
      <c r="A12" s="1" t="s">
        <v>68</v>
      </c>
      <c r="B12" s="1" t="s">
        <v>36</v>
      </c>
      <c r="C12" s="1" t="s">
        <v>37</v>
      </c>
      <c r="D12" s="1" t="s">
        <v>13</v>
      </c>
      <c r="E12" s="1" t="s">
        <v>14</v>
      </c>
      <c r="F12" s="1" t="s">
        <v>10</v>
      </c>
      <c r="G12" s="1">
        <v>95</v>
      </c>
      <c r="H12" s="1" t="s">
        <v>87</v>
      </c>
      <c r="I12" s="3">
        <v>46053</v>
      </c>
      <c r="J12" s="3"/>
      <c r="L12" s="2" t="str">
        <f t="shared" si="2"/>
        <v>OK</v>
      </c>
      <c r="M12" s="2" t="str">
        <f t="shared" si="0"/>
        <v>OK</v>
      </c>
      <c r="N12" s="2" t="str">
        <f>IFERROR(IF(VLOOKUP(B12,'Reference Data'!$A$2:$F$26,1,FALSE)=B12,"OK","CHECK"),"MISSING")</f>
        <v>OK</v>
      </c>
      <c r="O12" s="1" t="str">
        <f>IFERROR(IF(C12=VLOOKUP(B12,'Reference Data'!$A$2:$F$26,2,FALSE),"OK","CHECK"),"MISSING")</f>
        <v>OK</v>
      </c>
      <c r="P12" s="2" t="str">
        <f>IFERROR(IF(D12=VLOOKUP(B12,'Reference Data'!$A$2:$F$26,3,FALSE),"OK","CHECK"),"MISSING")</f>
        <v>OK</v>
      </c>
      <c r="Q12" s="2" t="str">
        <f>IFERROR(IF(E12=VLOOKUP(B12,'Reference Data'!$A$2:$F$26,4,FALSE),"OK","CHECK"),"MISSING")</f>
        <v>OK</v>
      </c>
      <c r="R12" s="2" t="str">
        <f>IFERROR(IF(F12=VLOOKUP(B12,'Reference Data'!$A$2:$F$26,5,FALSE),"OK","CHECK"),"MISSING")</f>
        <v>OK</v>
      </c>
      <c r="S12" s="1" t="str">
        <f t="shared" si="1"/>
        <v>OK</v>
      </c>
    </row>
    <row r="13" spans="1:19" x14ac:dyDescent="0.3">
      <c r="A13" s="1" t="s">
        <v>69</v>
      </c>
      <c r="B13" s="1" t="s">
        <v>38</v>
      </c>
      <c r="C13" s="1" t="s">
        <v>37</v>
      </c>
      <c r="D13" s="1" t="s">
        <v>8</v>
      </c>
      <c r="E13" s="1" t="s">
        <v>9</v>
      </c>
      <c r="F13" s="1" t="s">
        <v>26</v>
      </c>
      <c r="G13" s="1">
        <v>130</v>
      </c>
      <c r="H13" s="1" t="s">
        <v>58</v>
      </c>
      <c r="I13" s="3">
        <v>46055</v>
      </c>
      <c r="J13" s="3">
        <v>46057</v>
      </c>
      <c r="L13" s="2" t="str">
        <f t="shared" si="2"/>
        <v>OK</v>
      </c>
      <c r="M13" s="2" t="str">
        <f t="shared" si="0"/>
        <v>OK</v>
      </c>
      <c r="N13" s="2" t="str">
        <f>IFERROR(IF(VLOOKUP(B13,'Reference Data'!$A$2:$F$26,1,FALSE)=B13,"OK","CHECK"),"MISSING")</f>
        <v>OK</v>
      </c>
      <c r="O13" s="1" t="str">
        <f>IFERROR(IF(C13=VLOOKUP(B13,'Reference Data'!$A$2:$F$26,2,FALSE),"OK","CHECK"),"MISSING")</f>
        <v>OK</v>
      </c>
      <c r="P13" s="2" t="str">
        <f>IFERROR(IF(D13=VLOOKUP(B13,'Reference Data'!$A$2:$F$26,3,FALSE),"OK","CHECK"),"MISSING")</f>
        <v>OK</v>
      </c>
      <c r="Q13" s="2" t="str">
        <f>IFERROR(IF(E13=VLOOKUP(B13,'Reference Data'!$A$2:$F$26,4,FALSE),"OK","CHECK"),"MISSING")</f>
        <v>OK</v>
      </c>
      <c r="R13" s="2" t="str">
        <f>IFERROR(IF(F13=VLOOKUP(B13,'Reference Data'!$A$2:$F$26,5,FALSE),"OK","CHECK"),"MISSING")</f>
        <v>OK</v>
      </c>
      <c r="S13" s="1" t="str">
        <f t="shared" si="1"/>
        <v>OK</v>
      </c>
    </row>
    <row r="14" spans="1:19" x14ac:dyDescent="0.3">
      <c r="A14" s="1" t="s">
        <v>70</v>
      </c>
      <c r="B14" s="1" t="s">
        <v>39</v>
      </c>
      <c r="C14" s="1" t="s">
        <v>40</v>
      </c>
      <c r="D14" s="1" t="s">
        <v>20</v>
      </c>
      <c r="E14" s="1" t="s">
        <v>21</v>
      </c>
      <c r="F14" s="1" t="s">
        <v>18</v>
      </c>
      <c r="G14" s="1">
        <v>160</v>
      </c>
      <c r="H14" s="1" t="s">
        <v>58</v>
      </c>
      <c r="I14" s="3">
        <v>46058</v>
      </c>
      <c r="J14" s="3">
        <v>46059</v>
      </c>
      <c r="L14" s="2" t="str">
        <f t="shared" si="2"/>
        <v>OK</v>
      </c>
      <c r="M14" s="2" t="str">
        <f t="shared" si="0"/>
        <v>OK</v>
      </c>
      <c r="N14" s="2" t="str">
        <f>IFERROR(IF(VLOOKUP(B14,'Reference Data'!$A$2:$F$26,1,FALSE)=B14,"OK","CHECK"),"MISSING")</f>
        <v>OK</v>
      </c>
      <c r="O14" s="1" t="str">
        <f>IFERROR(IF(C14=VLOOKUP(B14,'Reference Data'!$A$2:$F$26,2,FALSE),"OK","CHECK"),"MISSING")</f>
        <v>OK</v>
      </c>
      <c r="P14" s="2" t="str">
        <f>IFERROR(IF(D14=VLOOKUP(B14,'Reference Data'!$A$2:$F$26,3,FALSE),"OK","CHECK"),"MISSING")</f>
        <v>OK</v>
      </c>
      <c r="Q14" s="2" t="str">
        <f>IFERROR(IF(E14=VLOOKUP(B14,'Reference Data'!$A$2:$F$26,4,FALSE),"OK","CHECK"),"MISSING")</f>
        <v>OK</v>
      </c>
      <c r="R14" s="2" t="str">
        <f>IFERROR(IF(F14=VLOOKUP(B14,'Reference Data'!$A$2:$F$26,5,FALSE),"OK","CHECK"),"MISSING")</f>
        <v>OK</v>
      </c>
      <c r="S14" s="1" t="str">
        <f t="shared" si="1"/>
        <v>OK</v>
      </c>
    </row>
    <row r="15" spans="1:19" x14ac:dyDescent="0.3">
      <c r="A15" s="1" t="s">
        <v>71</v>
      </c>
      <c r="B15" s="1" t="s">
        <v>41</v>
      </c>
      <c r="C15" s="1" t="s">
        <v>40</v>
      </c>
      <c r="D15" s="1" t="s">
        <v>8</v>
      </c>
      <c r="E15" s="1" t="s">
        <v>24</v>
      </c>
      <c r="F15" s="1" t="s">
        <v>15</v>
      </c>
      <c r="G15" s="1">
        <v>70</v>
      </c>
      <c r="H15" s="1" t="s">
        <v>58</v>
      </c>
      <c r="I15" s="3">
        <v>46061</v>
      </c>
      <c r="J15" s="3">
        <v>46062</v>
      </c>
      <c r="L15" s="2" t="str">
        <f t="shared" si="2"/>
        <v>OK</v>
      </c>
      <c r="M15" s="2" t="str">
        <f t="shared" si="0"/>
        <v>OK</v>
      </c>
      <c r="N15" s="2" t="str">
        <f>IFERROR(IF(VLOOKUP(B15,'Reference Data'!$A$2:$F$26,1,FALSE)=B15,"OK","CHECK"),"MISSING")</f>
        <v>OK</v>
      </c>
      <c r="O15" s="1" t="str">
        <f>IFERROR(IF(C15=VLOOKUP(B15,'Reference Data'!$A$2:$F$26,2,FALSE),"OK","CHECK"),"MISSING")</f>
        <v>OK</v>
      </c>
      <c r="P15" s="2" t="str">
        <f>IFERROR(IF(D15=VLOOKUP(B15,'Reference Data'!$A$2:$F$26,3,FALSE),"OK","CHECK"),"MISSING")</f>
        <v>OK</v>
      </c>
      <c r="Q15" s="2" t="str">
        <f>IFERROR(IF(E15=VLOOKUP(B15,'Reference Data'!$A$2:$F$26,4,FALSE),"OK","CHECK"),"MISSING")</f>
        <v>OK</v>
      </c>
      <c r="R15" s="2" t="str">
        <f>IFERROR(IF(F15=VLOOKUP(B15,'Reference Data'!$A$2:$F$26,5,FALSE),"OK","CHECK"),"MISSING")</f>
        <v>OK</v>
      </c>
      <c r="S15" s="1" t="str">
        <f t="shared" si="1"/>
        <v>OK</v>
      </c>
    </row>
    <row r="16" spans="1:19" x14ac:dyDescent="0.3">
      <c r="A16" s="1" t="s">
        <v>72</v>
      </c>
      <c r="B16" s="1" t="s">
        <v>42</v>
      </c>
      <c r="C16" s="1" t="s">
        <v>7</v>
      </c>
      <c r="D16" s="1" t="s">
        <v>32</v>
      </c>
      <c r="E16" s="1" t="s">
        <v>29</v>
      </c>
      <c r="F16" s="1" t="s">
        <v>30</v>
      </c>
      <c r="G16" s="1">
        <v>10</v>
      </c>
      <c r="H16" s="1" t="s">
        <v>58</v>
      </c>
      <c r="I16" s="3">
        <v>46063</v>
      </c>
      <c r="J16" s="3">
        <v>46065</v>
      </c>
      <c r="L16" s="2" t="str">
        <f t="shared" si="2"/>
        <v>OK</v>
      </c>
      <c r="M16" s="2" t="str">
        <f t="shared" si="0"/>
        <v>OK</v>
      </c>
      <c r="N16" s="2" t="str">
        <f>IFERROR(IF(VLOOKUP(B16,'Reference Data'!$A$2:$F$26,1,FALSE)=B16,"OK","CHECK"),"MISSING")</f>
        <v>OK</v>
      </c>
      <c r="O16" s="1" t="str">
        <f>IFERROR(IF(C16=VLOOKUP(B16,'Reference Data'!$A$2:$F$26,2,FALSE),"OK","CHECK"),"MISSING")</f>
        <v>OK</v>
      </c>
      <c r="P16" s="2" t="str">
        <f>IFERROR(IF(D16=VLOOKUP(B16,'Reference Data'!$A$2:$F$26,3,FALSE),"OK","CHECK"),"MISSING")</f>
        <v>OK</v>
      </c>
      <c r="Q16" s="2" t="str">
        <f>IFERROR(IF(E16=VLOOKUP(B16,'Reference Data'!$A$2:$F$26,4,FALSE),"OK","CHECK"),"MISSING")</f>
        <v>OK</v>
      </c>
      <c r="R16" s="2" t="str">
        <f>IFERROR(IF(F16=VLOOKUP(B16,'Reference Data'!$A$2:$F$26,5,FALSE),"OK","CHECK"),"MISSING")</f>
        <v>OK</v>
      </c>
      <c r="S16" s="1" t="str">
        <f t="shared" si="1"/>
        <v>OK</v>
      </c>
    </row>
    <row r="17" spans="1:19" x14ac:dyDescent="0.3">
      <c r="A17" s="1" t="s">
        <v>73</v>
      </c>
      <c r="B17" s="1" t="s">
        <v>43</v>
      </c>
      <c r="C17" s="1" t="s">
        <v>17</v>
      </c>
      <c r="D17" s="1" t="s">
        <v>13</v>
      </c>
      <c r="E17" s="1" t="s">
        <v>14</v>
      </c>
      <c r="F17" s="1" t="s">
        <v>15</v>
      </c>
      <c r="G17" s="1">
        <v>100</v>
      </c>
      <c r="H17" s="1" t="s">
        <v>58</v>
      </c>
      <c r="I17" s="3">
        <v>46066</v>
      </c>
      <c r="J17" s="3">
        <v>46067</v>
      </c>
      <c r="L17" s="2" t="str">
        <f t="shared" si="2"/>
        <v>OK</v>
      </c>
      <c r="M17" s="2" t="str">
        <f t="shared" si="0"/>
        <v>OK</v>
      </c>
      <c r="N17" s="2" t="str">
        <f>IFERROR(IF(VLOOKUP(B17,'Reference Data'!$A$2:$F$26,1,FALSE)=B17,"OK","CHECK"),"MISSING")</f>
        <v>OK</v>
      </c>
      <c r="O17" s="1" t="str">
        <f>IFERROR(IF(C17=VLOOKUP(B17,'Reference Data'!$A$2:$F$26,2,FALSE),"OK","CHECK"),"MISSING")</f>
        <v>OK</v>
      </c>
      <c r="P17" s="2" t="str">
        <f>IFERROR(IF(D17=VLOOKUP(B17,'Reference Data'!$A$2:$F$26,3,FALSE),"OK","CHECK"),"MISSING")</f>
        <v>OK</v>
      </c>
      <c r="Q17" s="2" t="str">
        <f>IFERROR(IF(E17=VLOOKUP(B17,'Reference Data'!$A$2:$F$26,4,FALSE),"OK","CHECK"),"MISSING")</f>
        <v>OK</v>
      </c>
      <c r="R17" s="2" t="str">
        <f>IFERROR(IF(F17=VLOOKUP(B17,'Reference Data'!$A$2:$F$26,5,FALSE),"OK","CHECK"),"MISSING")</f>
        <v>OK</v>
      </c>
      <c r="S17" s="1" t="str">
        <f t="shared" si="1"/>
        <v>OK</v>
      </c>
    </row>
    <row r="18" spans="1:19" x14ac:dyDescent="0.3">
      <c r="A18" s="1" t="s">
        <v>74</v>
      </c>
      <c r="B18" s="1" t="s">
        <v>44</v>
      </c>
      <c r="C18" s="1" t="s">
        <v>23</v>
      </c>
      <c r="D18" s="1" t="s">
        <v>20</v>
      </c>
      <c r="E18" s="1" t="s">
        <v>21</v>
      </c>
      <c r="F18" s="1" t="s">
        <v>10</v>
      </c>
      <c r="G18" s="1">
        <v>145</v>
      </c>
      <c r="H18" s="1" t="s">
        <v>58</v>
      </c>
      <c r="I18" s="3">
        <v>46068</v>
      </c>
      <c r="J18" s="3">
        <v>46069</v>
      </c>
      <c r="L18" s="2" t="str">
        <f t="shared" si="2"/>
        <v>OK</v>
      </c>
      <c r="M18" s="2" t="str">
        <f t="shared" si="0"/>
        <v>OK</v>
      </c>
      <c r="N18" s="2" t="str">
        <f>IFERROR(IF(VLOOKUP(B18,'Reference Data'!$A$2:$F$26,1,FALSE)=B18,"OK","CHECK"),"MISSING")</f>
        <v>OK</v>
      </c>
      <c r="O18" s="1" t="str">
        <f>IFERROR(IF(C18=VLOOKUP(B18,'Reference Data'!$A$2:$F$26,2,FALSE),"OK","CHECK"),"MISSING")</f>
        <v>OK</v>
      </c>
      <c r="P18" s="2" t="str">
        <f>IFERROR(IF(D18=VLOOKUP(B18,'Reference Data'!$A$2:$F$26,3,FALSE),"OK","CHECK"),"MISSING")</f>
        <v>OK</v>
      </c>
      <c r="Q18" s="2" t="str">
        <f>IFERROR(IF(E18=VLOOKUP(B18,'Reference Data'!$A$2:$F$26,4,FALSE),"OK","CHECK"),"MISSING")</f>
        <v>OK</v>
      </c>
      <c r="R18" s="2" t="str">
        <f>IFERROR(IF(F18=VLOOKUP(B18,'Reference Data'!$A$2:$F$26,5,FALSE),"OK","CHECK"),"MISSING")</f>
        <v>OK</v>
      </c>
      <c r="S18" s="1" t="str">
        <f t="shared" si="1"/>
        <v>OK</v>
      </c>
    </row>
    <row r="19" spans="1:19" x14ac:dyDescent="0.3">
      <c r="A19" s="1" t="s">
        <v>75</v>
      </c>
      <c r="B19" s="1" t="s">
        <v>45</v>
      </c>
      <c r="C19" s="1" t="s">
        <v>28</v>
      </c>
      <c r="D19" s="1" t="s">
        <v>8</v>
      </c>
      <c r="E19" s="1" t="s">
        <v>9</v>
      </c>
      <c r="F19" s="1" t="s">
        <v>26</v>
      </c>
      <c r="G19" s="1">
        <v>115</v>
      </c>
      <c r="H19" s="1" t="s">
        <v>140</v>
      </c>
      <c r="I19" s="3">
        <v>46071</v>
      </c>
      <c r="J19" s="3"/>
      <c r="L19" s="2" t="str">
        <f t="shared" si="2"/>
        <v>OK</v>
      </c>
      <c r="M19" s="2" t="str">
        <f t="shared" si="0"/>
        <v>OK</v>
      </c>
      <c r="N19" s="2" t="str">
        <f>IFERROR(IF(VLOOKUP(B19,'Reference Data'!$A$2:$F$26,1,FALSE)=B19,"OK","CHECK"),"MISSING")</f>
        <v>OK</v>
      </c>
      <c r="O19" s="1" t="str">
        <f>IFERROR(IF(C19=VLOOKUP(B19,'Reference Data'!$A$2:$F$26,2,FALSE),"OK","CHECK"),"MISSING")</f>
        <v>OK</v>
      </c>
      <c r="P19" s="2" t="str">
        <f>IFERROR(IF(D19=VLOOKUP(B19,'Reference Data'!$A$2:$F$26,3,FALSE),"OK","CHECK"),"MISSING")</f>
        <v>OK</v>
      </c>
      <c r="Q19" s="2" t="str">
        <f>IFERROR(IF(E19=VLOOKUP(B19,'Reference Data'!$A$2:$F$26,4,FALSE),"OK","CHECK"),"MISSING")</f>
        <v>OK</v>
      </c>
      <c r="R19" s="2" t="str">
        <f>IFERROR(IF(F19=VLOOKUP(B19,'Reference Data'!$A$2:$F$26,5,FALSE),"OK","CHECK"),"MISSING")</f>
        <v>OK</v>
      </c>
      <c r="S19" s="1" t="str">
        <f t="shared" si="1"/>
        <v>OK</v>
      </c>
    </row>
    <row r="20" spans="1:19" x14ac:dyDescent="0.3">
      <c r="A20" s="1" t="s">
        <v>76</v>
      </c>
      <c r="B20" s="1" t="s">
        <v>46</v>
      </c>
      <c r="C20" s="1" t="s">
        <v>34</v>
      </c>
      <c r="D20" s="1" t="s">
        <v>13</v>
      </c>
      <c r="E20" s="1" t="s">
        <v>14</v>
      </c>
      <c r="F20" s="1" t="s">
        <v>18</v>
      </c>
      <c r="G20" s="1">
        <v>80</v>
      </c>
      <c r="H20" s="1" t="s">
        <v>58</v>
      </c>
      <c r="I20" s="3">
        <v>46073</v>
      </c>
      <c r="J20" s="3">
        <v>46074</v>
      </c>
      <c r="L20" s="2" t="str">
        <f t="shared" si="2"/>
        <v>OK</v>
      </c>
      <c r="M20" s="2" t="str">
        <f t="shared" si="0"/>
        <v>OK</v>
      </c>
      <c r="N20" s="2" t="str">
        <f>IFERROR(IF(VLOOKUP(B20,'Reference Data'!$A$2:$F$26,1,FALSE)=B20,"OK","CHECK"),"MISSING")</f>
        <v>OK</v>
      </c>
      <c r="O20" s="1" t="str">
        <f>IFERROR(IF(C20=VLOOKUP(B20,'Reference Data'!$A$2:$F$26,2,FALSE),"OK","CHECK"),"MISSING")</f>
        <v>OK</v>
      </c>
      <c r="P20" s="2" t="str">
        <f>IFERROR(IF(D20=VLOOKUP(B20,'Reference Data'!$A$2:$F$26,3,FALSE),"OK","CHECK"),"MISSING")</f>
        <v>OK</v>
      </c>
      <c r="Q20" s="2" t="str">
        <f>IFERROR(IF(E20=VLOOKUP(B20,'Reference Data'!$A$2:$F$26,4,FALSE),"OK","CHECK"),"MISSING")</f>
        <v>OK</v>
      </c>
      <c r="R20" s="2" t="str">
        <f>IFERROR(IF(F20=VLOOKUP(B20,'Reference Data'!$A$2:$F$26,5,FALSE),"OK","CHECK"),"MISSING")</f>
        <v>OK</v>
      </c>
      <c r="S20" s="1" t="str">
        <f t="shared" si="1"/>
        <v>OK</v>
      </c>
    </row>
    <row r="21" spans="1:19" x14ac:dyDescent="0.3">
      <c r="A21" s="1" t="s">
        <v>77</v>
      </c>
      <c r="B21" s="1" t="s">
        <v>47</v>
      </c>
      <c r="C21" s="1" t="s">
        <v>37</v>
      </c>
      <c r="D21" s="1" t="s">
        <v>20</v>
      </c>
      <c r="E21" s="1" t="s">
        <v>21</v>
      </c>
      <c r="F21" s="1" t="s">
        <v>15</v>
      </c>
      <c r="G21" s="1">
        <v>125</v>
      </c>
      <c r="H21" s="1" t="s">
        <v>58</v>
      </c>
      <c r="I21" s="3">
        <v>46076</v>
      </c>
      <c r="J21" s="3">
        <v>46077</v>
      </c>
      <c r="L21" s="2" t="str">
        <f t="shared" si="2"/>
        <v>OK</v>
      </c>
      <c r="M21" s="2" t="str">
        <f t="shared" si="0"/>
        <v>OK</v>
      </c>
      <c r="N21" s="2" t="str">
        <f>IFERROR(IF(VLOOKUP(B21,'Reference Data'!$A$2:$F$26,1,FALSE)=B21,"OK","CHECK"),"MISSING")</f>
        <v>OK</v>
      </c>
      <c r="O21" s="1" t="str">
        <f>IFERROR(IF(C21=VLOOKUP(B21,'Reference Data'!$A$2:$F$26,2,FALSE),"OK","CHECK"),"MISSING")</f>
        <v>OK</v>
      </c>
      <c r="P21" s="2" t="str">
        <f>IFERROR(IF(D21=VLOOKUP(B21,'Reference Data'!$A$2:$F$26,3,FALSE),"OK","CHECK"),"MISSING")</f>
        <v>OK</v>
      </c>
      <c r="Q21" s="2" t="str">
        <f>IFERROR(IF(E21=VLOOKUP(B21,'Reference Data'!$A$2:$F$26,4,FALSE),"OK","CHECK"),"MISSING")</f>
        <v>OK</v>
      </c>
      <c r="R21" s="2" t="str">
        <f>IFERROR(IF(F21=VLOOKUP(B21,'Reference Data'!$A$2:$F$26,5,FALSE),"OK","CHECK"),"MISSING")</f>
        <v>OK</v>
      </c>
      <c r="S21" s="1" t="str">
        <f t="shared" si="1"/>
        <v>OK</v>
      </c>
    </row>
    <row r="22" spans="1:19" x14ac:dyDescent="0.3">
      <c r="A22" s="1" t="s">
        <v>78</v>
      </c>
      <c r="B22" s="1" t="s">
        <v>48</v>
      </c>
      <c r="C22" s="1" t="s">
        <v>40</v>
      </c>
      <c r="D22" s="1" t="s">
        <v>13</v>
      </c>
      <c r="E22" s="1" t="s">
        <v>14</v>
      </c>
      <c r="F22" s="1" t="s">
        <v>26</v>
      </c>
      <c r="G22" s="1">
        <v>105</v>
      </c>
      <c r="H22" s="1" t="s">
        <v>58</v>
      </c>
      <c r="I22" s="3">
        <v>46079</v>
      </c>
      <c r="J22" s="3">
        <v>46081</v>
      </c>
      <c r="L22" s="2" t="str">
        <f t="shared" si="2"/>
        <v>OK</v>
      </c>
      <c r="M22" s="2" t="str">
        <f t="shared" si="0"/>
        <v>OK</v>
      </c>
      <c r="N22" s="2" t="str">
        <f>IFERROR(IF(VLOOKUP(B22,'Reference Data'!$A$2:$F$26,1,FALSE)=B22,"OK","CHECK"),"MISSING")</f>
        <v>OK</v>
      </c>
      <c r="O22" s="1" t="str">
        <f>IFERROR(IF(C22=VLOOKUP(B22,'Reference Data'!$A$2:$F$26,2,FALSE),"OK","CHECK"),"MISSING")</f>
        <v>OK</v>
      </c>
      <c r="P22" s="2" t="str">
        <f>IFERROR(IF(D22=VLOOKUP(B22,'Reference Data'!$A$2:$F$26,3,FALSE),"OK","CHECK"),"MISSING")</f>
        <v>OK</v>
      </c>
      <c r="Q22" s="2" t="str">
        <f>IFERROR(IF(E22=VLOOKUP(B22,'Reference Data'!$A$2:$F$26,4,FALSE),"OK","CHECK"),"MISSING")</f>
        <v>OK</v>
      </c>
      <c r="R22" s="2" t="str">
        <f>IFERROR(IF(F22=VLOOKUP(B22,'Reference Data'!$A$2:$F$26,5,FALSE),"OK","CHECK"),"MISSING")</f>
        <v>OK</v>
      </c>
      <c r="S22" s="1" t="str">
        <f t="shared" si="1"/>
        <v>OK</v>
      </c>
    </row>
    <row r="23" spans="1:19" ht="15" customHeight="1" x14ac:dyDescent="0.3">
      <c r="A23" s="1" t="s">
        <v>79</v>
      </c>
      <c r="B23" s="1" t="s">
        <v>49</v>
      </c>
      <c r="C23" s="1" t="s">
        <v>7</v>
      </c>
      <c r="D23" s="1" t="s">
        <v>20</v>
      </c>
      <c r="E23" s="1" t="s">
        <v>21</v>
      </c>
      <c r="F23" s="1" t="s">
        <v>26</v>
      </c>
      <c r="G23" s="1">
        <v>135</v>
      </c>
      <c r="H23" s="1" t="s">
        <v>58</v>
      </c>
      <c r="I23" s="3">
        <v>46081</v>
      </c>
      <c r="J23" s="3">
        <v>46082</v>
      </c>
      <c r="L23" s="2" t="str">
        <f t="shared" si="2"/>
        <v>OK</v>
      </c>
      <c r="M23" s="2" t="str">
        <f t="shared" si="0"/>
        <v>OK</v>
      </c>
      <c r="N23" s="2" t="str">
        <f>IFERROR(IF(VLOOKUP(B23,'Reference Data'!$A$2:$F$26,1,FALSE)=B23,"OK","CHECK"),"MISSING")</f>
        <v>OK</v>
      </c>
      <c r="O23" s="1" t="str">
        <f>IFERROR(IF(C23=VLOOKUP(B23,'Reference Data'!$A$2:$F$26,2,FALSE),"OK","CHECK"),"MISSING")</f>
        <v>OK</v>
      </c>
      <c r="P23" s="2" t="str">
        <f>IFERROR(IF(D23=VLOOKUP(B23,'Reference Data'!$A$2:$F$26,3,FALSE),"OK","CHECK"),"MISSING")</f>
        <v>OK</v>
      </c>
      <c r="Q23" s="2" t="str">
        <f>IFERROR(IF(E23=VLOOKUP(B23,'Reference Data'!$A$2:$F$26,4,FALSE),"OK","CHECK"),"MISSING")</f>
        <v>OK</v>
      </c>
      <c r="R23" s="2" t="str">
        <f>IFERROR(IF(F23=VLOOKUP(B23,'Reference Data'!$A$2:$F$26,5,FALSE),"OK","CHECK"),"MISSING")</f>
        <v>OK</v>
      </c>
      <c r="S23" s="1" t="str">
        <f t="shared" si="1"/>
        <v>OK</v>
      </c>
    </row>
    <row r="24" spans="1:19" x14ac:dyDescent="0.3">
      <c r="A24" s="1" t="s">
        <v>80</v>
      </c>
      <c r="B24" s="1" t="s">
        <v>50</v>
      </c>
      <c r="C24" s="1" t="s">
        <v>17</v>
      </c>
      <c r="D24" s="1" t="s">
        <v>32</v>
      </c>
      <c r="E24" s="1" t="s">
        <v>29</v>
      </c>
      <c r="F24" s="1" t="s">
        <v>30</v>
      </c>
      <c r="G24" s="1">
        <v>9</v>
      </c>
      <c r="H24" s="1" t="s">
        <v>87</v>
      </c>
      <c r="I24" s="3">
        <v>46084</v>
      </c>
      <c r="J24" s="3"/>
      <c r="L24" s="2" t="str">
        <f t="shared" si="2"/>
        <v>OK</v>
      </c>
      <c r="M24" s="2" t="str">
        <f t="shared" si="0"/>
        <v>OK</v>
      </c>
      <c r="N24" s="2" t="str">
        <f>IFERROR(IF(VLOOKUP(B24,'Reference Data'!$A$2:$F$26,1,FALSE)=B24,"OK","CHECK"),"MISSING")</f>
        <v>OK</v>
      </c>
      <c r="O24" s="1" t="str">
        <f>IFERROR(IF(C24=VLOOKUP(B24,'Reference Data'!$A$2:$F$26,2,FALSE),"OK","CHECK"),"MISSING")</f>
        <v>OK</v>
      </c>
      <c r="P24" s="2" t="str">
        <f>IFERROR(IF(D24=VLOOKUP(B24,'Reference Data'!$A$2:$F$26,3,FALSE),"OK","CHECK"),"MISSING")</f>
        <v>OK</v>
      </c>
      <c r="Q24" s="2" t="str">
        <f>IFERROR(IF(E24=VLOOKUP(B24,'Reference Data'!$A$2:$F$26,4,FALSE),"OK","CHECK"),"MISSING")</f>
        <v>OK</v>
      </c>
      <c r="R24" s="2" t="str">
        <f>IFERROR(IF(F24=VLOOKUP(B24,'Reference Data'!$A$2:$F$26,5,FALSE),"OK","CHECK"),"MISSING")</f>
        <v>OK</v>
      </c>
      <c r="S24" s="1" t="str">
        <f t="shared" si="1"/>
        <v>OK</v>
      </c>
    </row>
    <row r="25" spans="1:19" x14ac:dyDescent="0.3">
      <c r="A25" s="1" t="s">
        <v>81</v>
      </c>
      <c r="B25" s="1" t="s">
        <v>51</v>
      </c>
      <c r="C25" s="1" t="s">
        <v>23</v>
      </c>
      <c r="D25" s="1" t="s">
        <v>8</v>
      </c>
      <c r="E25" s="1" t="s">
        <v>9</v>
      </c>
      <c r="F25" s="1" t="s">
        <v>10</v>
      </c>
      <c r="G25" s="1">
        <v>180</v>
      </c>
      <c r="H25" s="1" t="s">
        <v>58</v>
      </c>
      <c r="I25" s="3">
        <v>46086</v>
      </c>
      <c r="J25" s="3">
        <v>46088</v>
      </c>
      <c r="L25" s="2" t="str">
        <f t="shared" si="2"/>
        <v>OK</v>
      </c>
      <c r="M25" s="2" t="str">
        <f t="shared" si="0"/>
        <v>OK</v>
      </c>
      <c r="N25" s="2" t="str">
        <f>IFERROR(IF(VLOOKUP(B25,'Reference Data'!$A$2:$F$26,1,FALSE)=B25,"OK","CHECK"),"MISSING")</f>
        <v>OK</v>
      </c>
      <c r="O25" s="1" t="str">
        <f>IFERROR(IF(C25=VLOOKUP(B25,'Reference Data'!$A$2:$F$26,2,FALSE),"OK","CHECK"),"MISSING")</f>
        <v>OK</v>
      </c>
      <c r="P25" s="2" t="str">
        <f>IFERROR(IF(D25=VLOOKUP(B25,'Reference Data'!$A$2:$F$26,3,FALSE),"OK","CHECK"),"MISSING")</f>
        <v>OK</v>
      </c>
      <c r="Q25" s="2" t="str">
        <f>IFERROR(IF(E25=VLOOKUP(B25,'Reference Data'!$A$2:$F$26,4,FALSE),"OK","CHECK"),"MISSING")</f>
        <v>OK</v>
      </c>
      <c r="R25" s="2" t="str">
        <f>IFERROR(IF(F25=VLOOKUP(B25,'Reference Data'!$A$2:$F$26,5,FALSE),"OK","CHECK"),"MISSING")</f>
        <v>OK</v>
      </c>
      <c r="S25" s="1" t="str">
        <f t="shared" si="1"/>
        <v>OK</v>
      </c>
    </row>
    <row r="26" spans="1:19" x14ac:dyDescent="0.3">
      <c r="A26" s="1" t="s">
        <v>82</v>
      </c>
      <c r="B26" s="1" t="s">
        <v>52</v>
      </c>
      <c r="C26" s="1" t="s">
        <v>28</v>
      </c>
      <c r="D26" s="1" t="s">
        <v>13</v>
      </c>
      <c r="E26" s="1" t="s">
        <v>14</v>
      </c>
      <c r="F26" s="1" t="s">
        <v>15</v>
      </c>
      <c r="G26" s="1">
        <v>88</v>
      </c>
      <c r="H26" s="1" t="s">
        <v>58</v>
      </c>
      <c r="I26" s="3">
        <v>46089</v>
      </c>
      <c r="J26" s="3">
        <v>46090</v>
      </c>
      <c r="L26" s="2" t="str">
        <f t="shared" si="2"/>
        <v>OK</v>
      </c>
      <c r="M26" s="2" t="str">
        <f t="shared" si="0"/>
        <v>OK</v>
      </c>
      <c r="N26" s="2" t="str">
        <f>IFERROR(IF(VLOOKUP(B26,'Reference Data'!$A$2:$F$26,1,FALSE)=B26,"OK","CHECK"),"MISSING")</f>
        <v>OK</v>
      </c>
      <c r="O26" s="1" t="str">
        <f>IFERROR(IF(C26=VLOOKUP(B26,'Reference Data'!$A$2:$F$26,2,FALSE),"OK","CHECK"),"MISSING")</f>
        <v>OK</v>
      </c>
      <c r="P26" s="2" t="str">
        <f>IFERROR(IF(D26=VLOOKUP(B26,'Reference Data'!$A$2:$F$26,3,FALSE),"OK","CHECK"),"MISSING")</f>
        <v>OK</v>
      </c>
      <c r="Q26" s="2" t="str">
        <f>IFERROR(IF(E26=VLOOKUP(B26,'Reference Data'!$A$2:$F$26,4,FALSE),"OK","CHECK"),"MISSING")</f>
        <v>OK</v>
      </c>
      <c r="R26" s="2" t="str">
        <f>IFERROR(IF(F26=VLOOKUP(B26,'Reference Data'!$A$2:$F$26,5,FALSE),"OK","CHECK"),"MISSING")</f>
        <v>OK</v>
      </c>
      <c r="S26" s="1" t="str">
        <f t="shared" si="1"/>
        <v>OK</v>
      </c>
    </row>
    <row r="27" spans="1:19" x14ac:dyDescent="0.3">
      <c r="A27" s="1" t="s">
        <v>83</v>
      </c>
      <c r="B27" s="1" t="s">
        <v>6</v>
      </c>
      <c r="C27" s="1" t="s">
        <v>7</v>
      </c>
      <c r="D27" s="1" t="s">
        <v>8</v>
      </c>
      <c r="E27" s="1" t="s">
        <v>9</v>
      </c>
      <c r="F27" s="1" t="s">
        <v>10</v>
      </c>
      <c r="G27" s="1">
        <v>140</v>
      </c>
      <c r="H27" s="1" t="s">
        <v>58</v>
      </c>
      <c r="I27" s="3">
        <v>46092</v>
      </c>
      <c r="J27" s="3">
        <v>46093</v>
      </c>
      <c r="L27" s="2" t="str">
        <f t="shared" si="2"/>
        <v>OK</v>
      </c>
      <c r="M27" s="2" t="str">
        <f t="shared" si="0"/>
        <v>OK</v>
      </c>
      <c r="N27" s="2" t="str">
        <f>IFERROR(IF(VLOOKUP(B27,'Reference Data'!$A$2:$F$26,1,FALSE)=B27,"OK","CHECK"),"MISSING")</f>
        <v>OK</v>
      </c>
      <c r="O27" s="1" t="str">
        <f>IFERROR(IF(C27=VLOOKUP(B27,'Reference Data'!$A$2:$F$26,2,FALSE),"OK","CHECK"),"MISSING")</f>
        <v>OK</v>
      </c>
      <c r="P27" s="2" t="str">
        <f>IFERROR(IF(D27=VLOOKUP(B27,'Reference Data'!$A$2:$F$26,3,FALSE),"OK","CHECK"),"MISSING")</f>
        <v>OK</v>
      </c>
      <c r="Q27" s="2" t="str">
        <f>IFERROR(IF(E27=VLOOKUP(B27,'Reference Data'!$A$2:$F$26,4,FALSE),"OK","CHECK"),"MISSING")</f>
        <v>OK</v>
      </c>
      <c r="R27" s="2" t="str">
        <f>IFERROR(IF(F27=VLOOKUP(B27,'Reference Data'!$A$2:$F$26,5,FALSE),"OK","CHECK"),"MISSING")</f>
        <v>OK</v>
      </c>
      <c r="S27" s="1" t="str">
        <f t="shared" si="1"/>
        <v>OK</v>
      </c>
    </row>
    <row r="28" spans="1:19" x14ac:dyDescent="0.3">
      <c r="A28" s="1" t="s">
        <v>84</v>
      </c>
      <c r="B28" s="1" t="s">
        <v>12</v>
      </c>
      <c r="C28" s="1" t="s">
        <v>7</v>
      </c>
      <c r="D28" s="1" t="s">
        <v>13</v>
      </c>
      <c r="E28" s="1" t="s">
        <v>14</v>
      </c>
      <c r="F28" s="1" t="s">
        <v>15</v>
      </c>
      <c r="G28" s="1">
        <v>92</v>
      </c>
      <c r="H28" s="1" t="s">
        <v>58</v>
      </c>
      <c r="I28" s="3">
        <v>46094</v>
      </c>
      <c r="J28" s="3">
        <v>46096</v>
      </c>
      <c r="L28" s="2" t="str">
        <f t="shared" si="2"/>
        <v>OK</v>
      </c>
      <c r="M28" s="2" t="str">
        <f t="shared" si="0"/>
        <v>OK</v>
      </c>
      <c r="N28" s="2" t="str">
        <f>IFERROR(IF(VLOOKUP(B28,'Reference Data'!$A$2:$F$26,1,FALSE)=B28,"OK","CHECK"),"MISSING")</f>
        <v>OK</v>
      </c>
      <c r="O28" s="1" t="str">
        <f>IFERROR(IF(C28=VLOOKUP(B28,'Reference Data'!$A$2:$F$26,2,FALSE),"OK","CHECK"),"MISSING")</f>
        <v>OK</v>
      </c>
      <c r="P28" s="2" t="str">
        <f>IFERROR(IF(D28=VLOOKUP(B28,'Reference Data'!$A$2:$F$26,3,FALSE),"OK","CHECK"),"MISSING")</f>
        <v>OK</v>
      </c>
      <c r="Q28" s="2" t="str">
        <f>IFERROR(IF(E28=VLOOKUP(B28,'Reference Data'!$A$2:$F$26,4,FALSE),"OK","CHECK"),"MISSING")</f>
        <v>OK</v>
      </c>
      <c r="R28" s="2" t="str">
        <f>IFERROR(IF(F28=VLOOKUP(B28,'Reference Data'!$A$2:$F$26,5,FALSE),"OK","CHECK"),"MISSING")</f>
        <v>OK</v>
      </c>
      <c r="S28" s="1" t="str">
        <f t="shared" si="1"/>
        <v>OK</v>
      </c>
    </row>
    <row r="29" spans="1:19" x14ac:dyDescent="0.3">
      <c r="A29" s="1" t="s">
        <v>85</v>
      </c>
      <c r="B29" s="1" t="s">
        <v>16</v>
      </c>
      <c r="C29" s="1" t="s">
        <v>17</v>
      </c>
      <c r="D29" s="1" t="s">
        <v>8</v>
      </c>
      <c r="E29" s="1" t="s">
        <v>9</v>
      </c>
      <c r="F29" s="1" t="s">
        <v>18</v>
      </c>
      <c r="G29" s="1">
        <v>210</v>
      </c>
      <c r="H29" s="1" t="s">
        <v>58</v>
      </c>
      <c r="I29" s="3">
        <v>46097</v>
      </c>
      <c r="J29" s="3">
        <v>46098</v>
      </c>
      <c r="L29" s="2" t="str">
        <f t="shared" si="2"/>
        <v>OK</v>
      </c>
      <c r="M29" s="2" t="str">
        <f t="shared" si="0"/>
        <v>OK</v>
      </c>
      <c r="N29" s="2" t="str">
        <f>IFERROR(IF(VLOOKUP(B29,'Reference Data'!$A$2:$F$26,1,FALSE)=B29,"OK","CHECK"),"MISSING")</f>
        <v>OK</v>
      </c>
      <c r="O29" s="1" t="str">
        <f>IFERROR(IF(C29=VLOOKUP(B29,'Reference Data'!$A$2:$F$26,2,FALSE),"OK","CHECK"),"MISSING")</f>
        <v>OK</v>
      </c>
      <c r="P29" s="2" t="str">
        <f>IFERROR(IF(D29=VLOOKUP(B29,'Reference Data'!$A$2:$F$26,3,FALSE),"OK","CHECK"),"MISSING")</f>
        <v>OK</v>
      </c>
      <c r="Q29" s="2" t="str">
        <f>IFERROR(IF(E29=VLOOKUP(B29,'Reference Data'!$A$2:$F$26,4,FALSE),"OK","CHECK"),"MISSING")</f>
        <v>OK</v>
      </c>
      <c r="R29" s="2" t="str">
        <f>IFERROR(IF(F29=VLOOKUP(B29,'Reference Data'!$A$2:$F$26,5,FALSE),"OK","CHECK"),"MISSING")</f>
        <v>OK</v>
      </c>
      <c r="S29" s="1" t="str">
        <f t="shared" si="1"/>
        <v>OK</v>
      </c>
    </row>
    <row r="30" spans="1:19" x14ac:dyDescent="0.3">
      <c r="A30" s="1" t="s">
        <v>86</v>
      </c>
      <c r="B30" s="1" t="s">
        <v>19</v>
      </c>
      <c r="C30" s="1" t="s">
        <v>17</v>
      </c>
      <c r="D30" s="1" t="s">
        <v>20</v>
      </c>
      <c r="E30" s="1" t="s">
        <v>21</v>
      </c>
      <c r="F30" s="1" t="s">
        <v>10</v>
      </c>
      <c r="G30" s="1">
        <v>165</v>
      </c>
      <c r="H30" s="1" t="s">
        <v>87</v>
      </c>
      <c r="I30" s="3">
        <v>46099</v>
      </c>
      <c r="J30" s="1"/>
      <c r="L30" s="2" t="str">
        <f t="shared" si="2"/>
        <v>OK</v>
      </c>
      <c r="M30" s="2" t="str">
        <f t="shared" si="0"/>
        <v>OK</v>
      </c>
      <c r="N30" s="2" t="str">
        <f>IFERROR(IF(VLOOKUP(B30,'Reference Data'!$A$2:$F$26,1,FALSE)=B30,"OK","CHECK"),"MISSING")</f>
        <v>OK</v>
      </c>
      <c r="O30" s="1" t="str">
        <f>IFERROR(IF(C30=VLOOKUP(B30,'Reference Data'!$A$2:$F$26,2,FALSE),"OK","CHECK"),"MISSING")</f>
        <v>OK</v>
      </c>
      <c r="P30" s="2" t="str">
        <f>IFERROR(IF(D30=VLOOKUP(B30,'Reference Data'!$A$2:$F$26,3,FALSE),"OK","CHECK"),"MISSING")</f>
        <v>OK</v>
      </c>
      <c r="Q30" s="2" t="str">
        <f>IFERROR(IF(E30=VLOOKUP(B30,'Reference Data'!$A$2:$F$26,4,FALSE),"OK","CHECK"),"MISSING")</f>
        <v>OK</v>
      </c>
      <c r="R30" s="2" t="str">
        <f>IFERROR(IF(F30=VLOOKUP(B30,'Reference Data'!$A$2:$F$26,5,FALSE),"OK","CHECK"),"MISSING")</f>
        <v>OK</v>
      </c>
      <c r="S30" s="1" t="str">
        <f t="shared" si="1"/>
        <v>OK</v>
      </c>
    </row>
    <row r="31" spans="1:19" x14ac:dyDescent="0.3">
      <c r="A31" s="1" t="s">
        <v>88</v>
      </c>
      <c r="B31" s="1" t="s">
        <v>22</v>
      </c>
      <c r="C31" s="1" t="s">
        <v>23</v>
      </c>
      <c r="D31" s="1" t="s">
        <v>8</v>
      </c>
      <c r="E31" s="1" t="s">
        <v>24</v>
      </c>
      <c r="F31" s="1" t="s">
        <v>15</v>
      </c>
      <c r="G31" s="1">
        <v>82</v>
      </c>
      <c r="H31" s="1" t="s">
        <v>58</v>
      </c>
      <c r="I31" s="3">
        <v>46102</v>
      </c>
      <c r="J31" s="3">
        <v>46104</v>
      </c>
      <c r="L31" s="2" t="str">
        <f t="shared" si="2"/>
        <v>OK</v>
      </c>
      <c r="M31" s="2" t="str">
        <f t="shared" si="0"/>
        <v>OK</v>
      </c>
      <c r="N31" s="2" t="str">
        <f>IFERROR(IF(VLOOKUP(B31,'Reference Data'!$A$2:$F$26,1,FALSE)=B31,"OK","CHECK"),"MISSING")</f>
        <v>OK</v>
      </c>
      <c r="O31" s="1" t="str">
        <f>IFERROR(IF(C31=VLOOKUP(B31,'Reference Data'!$A$2:$F$26,2,FALSE),"OK","CHECK"),"MISSING")</f>
        <v>OK</v>
      </c>
      <c r="P31" s="2" t="str">
        <f>IFERROR(IF(D31=VLOOKUP(B31,'Reference Data'!$A$2:$F$26,3,FALSE),"OK","CHECK"),"MISSING")</f>
        <v>OK</v>
      </c>
      <c r="Q31" s="2" t="str">
        <f>IFERROR(IF(E31=VLOOKUP(B31,'Reference Data'!$A$2:$F$26,4,FALSE),"OK","CHECK"),"MISSING")</f>
        <v>OK</v>
      </c>
      <c r="R31" s="2" t="str">
        <f>IFERROR(IF(F31=VLOOKUP(B31,'Reference Data'!$A$2:$F$26,5,FALSE),"OK","CHECK"),"MISSING")</f>
        <v>OK</v>
      </c>
      <c r="S31" s="1" t="str">
        <f t="shared" si="1"/>
        <v>OK</v>
      </c>
    </row>
    <row r="32" spans="1:19" x14ac:dyDescent="0.3">
      <c r="A32" s="1" t="s">
        <v>89</v>
      </c>
      <c r="B32" s="1" t="s">
        <v>25</v>
      </c>
      <c r="C32" s="1" t="s">
        <v>23</v>
      </c>
      <c r="D32" s="1" t="s">
        <v>13</v>
      </c>
      <c r="E32" s="1" t="s">
        <v>14</v>
      </c>
      <c r="F32" s="1" t="s">
        <v>26</v>
      </c>
      <c r="G32" s="1">
        <v>95</v>
      </c>
      <c r="H32" s="1" t="s">
        <v>140</v>
      </c>
      <c r="I32" s="3">
        <v>46104</v>
      </c>
      <c r="J32" s="3"/>
      <c r="L32" s="2" t="str">
        <f t="shared" si="2"/>
        <v>OK</v>
      </c>
      <c r="M32" s="2" t="str">
        <f>IF(OR(AND(H32="Completed",J32&lt;&gt;""),AND(OR(H32="Pending",H32="In Progress"),J32="")),"OK","CHECK")</f>
        <v>OK</v>
      </c>
      <c r="N32" s="2" t="str">
        <f>IFERROR(IF(VLOOKUP(B32,'Reference Data'!$A$2:$F$26,1,FALSE)=B32,"OK","CHECK"),"MISSING")</f>
        <v>OK</v>
      </c>
      <c r="O32" s="1" t="str">
        <f>IFERROR(IF(C32=VLOOKUP(B32,'Reference Data'!$A$2:$F$26,2,FALSE),"OK","CHECK"),"MISSING")</f>
        <v>OK</v>
      </c>
      <c r="P32" s="2" t="str">
        <f>IFERROR(IF(D32=VLOOKUP(B32,'Reference Data'!$A$2:$F$26,3,FALSE),"OK","CHECK"),"MISSING")</f>
        <v>OK</v>
      </c>
      <c r="Q32" s="2" t="str">
        <f>IFERROR(IF(E32=VLOOKUP(B32,'Reference Data'!$A$2:$F$26,4,FALSE),"OK","CHECK"),"MISSING")</f>
        <v>OK</v>
      </c>
      <c r="R32" s="2" t="str">
        <f>IFERROR(IF(F32=VLOOKUP(B32,'Reference Data'!$A$2:$F$26,5,FALSE),"OK","CHECK"),"MISSING")</f>
        <v>OK</v>
      </c>
      <c r="S32" s="1" t="str">
        <f t="shared" si="1"/>
        <v>OK</v>
      </c>
    </row>
    <row r="33" spans="1:19" x14ac:dyDescent="0.3">
      <c r="A33" s="1" t="s">
        <v>90</v>
      </c>
      <c r="B33" s="1" t="s">
        <v>27</v>
      </c>
      <c r="C33" s="1" t="s">
        <v>28</v>
      </c>
      <c r="D33" s="1" t="s">
        <v>8</v>
      </c>
      <c r="E33" s="1" t="s">
        <v>29</v>
      </c>
      <c r="F33" s="1" t="s">
        <v>30</v>
      </c>
      <c r="G33" s="1">
        <v>14</v>
      </c>
      <c r="H33" s="1" t="s">
        <v>58</v>
      </c>
      <c r="I33" s="3">
        <v>46107</v>
      </c>
      <c r="J33" s="3">
        <v>46108</v>
      </c>
      <c r="L33" s="2" t="str">
        <f t="shared" si="2"/>
        <v>OK</v>
      </c>
      <c r="M33" s="2" t="str">
        <f t="shared" si="0"/>
        <v>OK</v>
      </c>
      <c r="N33" s="2" t="str">
        <f>IFERROR(IF(VLOOKUP(B33,'Reference Data'!$A$2:$F$26,1,FALSE)=B33,"OK","CHECK"),"MISSING")</f>
        <v>OK</v>
      </c>
      <c r="O33" s="1" t="str">
        <f>IFERROR(IF(C33=VLOOKUP(B33,'Reference Data'!$A$2:$F$26,2,FALSE),"OK","CHECK"),"MISSING")</f>
        <v>OK</v>
      </c>
      <c r="P33" s="2" t="str">
        <f>IFERROR(IF(D33=VLOOKUP(B33,'Reference Data'!$A$2:$F$26,3,FALSE),"OK","CHECK"),"MISSING")</f>
        <v>OK</v>
      </c>
      <c r="Q33" s="2" t="str">
        <f>IFERROR(IF(E33=VLOOKUP(B33,'Reference Data'!$A$2:$F$26,4,FALSE),"OK","CHECK"),"MISSING")</f>
        <v>OK</v>
      </c>
      <c r="R33" s="2" t="str">
        <f>IFERROR(IF(F33=VLOOKUP(B33,'Reference Data'!$A$2:$F$26,5,FALSE),"OK","CHECK"),"MISSING")</f>
        <v>OK</v>
      </c>
      <c r="S33" s="1" t="str">
        <f t="shared" si="1"/>
        <v>OK</v>
      </c>
    </row>
    <row r="34" spans="1:19" x14ac:dyDescent="0.3">
      <c r="A34" s="1" t="s">
        <v>91</v>
      </c>
      <c r="B34" s="1" t="s">
        <v>31</v>
      </c>
      <c r="C34" s="1" t="s">
        <v>28</v>
      </c>
      <c r="D34" s="1" t="s">
        <v>32</v>
      </c>
      <c r="E34" s="1" t="s">
        <v>29</v>
      </c>
      <c r="F34" s="1" t="s">
        <v>30</v>
      </c>
      <c r="G34" s="1">
        <v>11</v>
      </c>
      <c r="H34" s="1" t="s">
        <v>58</v>
      </c>
      <c r="I34" s="3">
        <v>46110</v>
      </c>
      <c r="J34" s="3">
        <v>46112</v>
      </c>
      <c r="L34" s="2" t="str">
        <f>IF(A34="OP"&amp;TEXT(ROW()-1,"000"),"OK","CHECK")</f>
        <v>OK</v>
      </c>
      <c r="M34" s="2" t="str">
        <f t="shared" si="0"/>
        <v>OK</v>
      </c>
      <c r="N34" s="2" t="str">
        <f>IFERROR(IF(VLOOKUP(B34,'Reference Data'!$A$2:$F$26,1,FALSE)=B34,"OK","CHECK"),"MISSING")</f>
        <v>OK</v>
      </c>
      <c r="O34" s="1" t="str">
        <f>IFERROR(IF(C34=VLOOKUP(B34,'Reference Data'!$A$2:$F$26,2,FALSE),"OK","CHECK"),"MISSING")</f>
        <v>OK</v>
      </c>
      <c r="P34" s="2" t="str">
        <f>IFERROR(IF(D34=VLOOKUP(B34,'Reference Data'!$A$2:$F$26,3,FALSE),"OK","CHECK"),"MISSING")</f>
        <v>OK</v>
      </c>
      <c r="Q34" s="2" t="str">
        <f>IFERROR(IF(E34=VLOOKUP(B34,'Reference Data'!$A$2:$F$26,4,FALSE),"OK","CHECK"),"MISSING")</f>
        <v>OK</v>
      </c>
      <c r="R34" s="2" t="str">
        <f>IFERROR(IF(F34=VLOOKUP(B34,'Reference Data'!$A$2:$F$26,5,FALSE),"OK","CHECK"),"MISSING")</f>
        <v>OK</v>
      </c>
      <c r="S34" s="1" t="str">
        <f t="shared" si="1"/>
        <v>OK</v>
      </c>
    </row>
    <row r="35" spans="1:19" x14ac:dyDescent="0.3">
      <c r="A35" s="1" t="s">
        <v>92</v>
      </c>
      <c r="B35" s="1" t="s">
        <v>33</v>
      </c>
      <c r="C35" s="1" t="s">
        <v>34</v>
      </c>
      <c r="D35" s="1" t="s">
        <v>20</v>
      </c>
      <c r="E35" s="1" t="s">
        <v>21</v>
      </c>
      <c r="F35" s="1" t="s">
        <v>26</v>
      </c>
      <c r="G35" s="1">
        <v>185</v>
      </c>
      <c r="H35" s="1" t="s">
        <v>58</v>
      </c>
      <c r="I35" s="3">
        <v>46112</v>
      </c>
      <c r="J35" s="3">
        <v>46113</v>
      </c>
      <c r="L35" s="2" t="str">
        <f t="shared" si="2"/>
        <v>OK</v>
      </c>
      <c r="M35" s="2" t="str">
        <f t="shared" si="0"/>
        <v>OK</v>
      </c>
      <c r="N35" s="2" t="str">
        <f>IFERROR(IF(VLOOKUP(B35,'Reference Data'!$A$2:$F$26,1,FALSE)=B35,"OK","CHECK"),"MISSING")</f>
        <v>OK</v>
      </c>
      <c r="O35" s="1" t="str">
        <f>IFERROR(IF(C35=VLOOKUP(B35,'Reference Data'!$A$2:$F$26,2,FALSE),"OK","CHECK"),"MISSING")</f>
        <v>OK</v>
      </c>
      <c r="P35" s="2" t="str">
        <f>IFERROR(IF(D35=VLOOKUP(B35,'Reference Data'!$A$2:$F$26,3,FALSE),"OK","CHECK"),"MISSING")</f>
        <v>OK</v>
      </c>
      <c r="Q35" s="2" t="str">
        <f>IFERROR(IF(E35=VLOOKUP(B35,'Reference Data'!$A$2:$F$26,4,FALSE),"OK","CHECK"),"MISSING")</f>
        <v>OK</v>
      </c>
      <c r="R35" s="2" t="str">
        <f>IFERROR(IF(F35=VLOOKUP(B35,'Reference Data'!$A$2:$F$26,5,FALSE),"OK","CHECK"),"MISSING")</f>
        <v>OK</v>
      </c>
      <c r="S35" s="1" t="str">
        <f t="shared" si="1"/>
        <v>OK</v>
      </c>
    </row>
    <row r="36" spans="1:19" x14ac:dyDescent="0.3">
      <c r="A36" s="1" t="s">
        <v>93</v>
      </c>
      <c r="B36" s="1" t="s">
        <v>35</v>
      </c>
      <c r="C36" s="1" t="s">
        <v>34</v>
      </c>
      <c r="D36" s="1" t="s">
        <v>8</v>
      </c>
      <c r="E36" s="1" t="s">
        <v>24</v>
      </c>
      <c r="F36" s="1" t="s">
        <v>18</v>
      </c>
      <c r="G36" s="1">
        <v>115</v>
      </c>
      <c r="H36" s="1" t="s">
        <v>58</v>
      </c>
      <c r="I36" s="3">
        <v>46115</v>
      </c>
      <c r="J36" s="3">
        <v>46116</v>
      </c>
      <c r="L36" s="2" t="str">
        <f t="shared" si="2"/>
        <v>OK</v>
      </c>
      <c r="M36" s="2" t="str">
        <f t="shared" si="0"/>
        <v>OK</v>
      </c>
      <c r="N36" s="2" t="str">
        <f>IFERROR(IF(VLOOKUP(B36,'Reference Data'!$A$2:$F$26,1,FALSE)=B36,"OK","CHECK"),"MISSING")</f>
        <v>OK</v>
      </c>
      <c r="O36" s="1" t="str">
        <f>IFERROR(IF(C36=VLOOKUP(B36,'Reference Data'!$A$2:$F$26,2,FALSE),"OK","CHECK"),"MISSING")</f>
        <v>OK</v>
      </c>
      <c r="P36" s="2" t="str">
        <f>IFERROR(IF(D36=VLOOKUP(B36,'Reference Data'!$A$2:$F$26,3,FALSE),"OK","CHECK"),"MISSING")</f>
        <v>OK</v>
      </c>
      <c r="Q36" s="2" t="str">
        <f>IFERROR(IF(E36=VLOOKUP(B36,'Reference Data'!$A$2:$F$26,4,FALSE),"OK","CHECK"),"MISSING")</f>
        <v>OK</v>
      </c>
      <c r="R36" s="2" t="str">
        <f>IFERROR(IF(F36=VLOOKUP(B36,'Reference Data'!$A$2:$F$26,5,FALSE),"OK","CHECK"),"MISSING")</f>
        <v>OK</v>
      </c>
      <c r="S36" s="1" t="str">
        <f t="shared" si="1"/>
        <v>OK</v>
      </c>
    </row>
    <row r="37" spans="1:19" x14ac:dyDescent="0.3">
      <c r="A37" s="1" t="s">
        <v>94</v>
      </c>
      <c r="B37" s="1" t="s">
        <v>36</v>
      </c>
      <c r="C37" s="1" t="s">
        <v>37</v>
      </c>
      <c r="D37" s="1" t="s">
        <v>13</v>
      </c>
      <c r="E37" s="1" t="s">
        <v>14</v>
      </c>
      <c r="F37" s="1" t="s">
        <v>10</v>
      </c>
      <c r="G37" s="1">
        <v>105</v>
      </c>
      <c r="H37" s="1" t="s">
        <v>58</v>
      </c>
      <c r="I37" s="3">
        <v>46117</v>
      </c>
      <c r="J37" s="3">
        <v>46119</v>
      </c>
      <c r="L37" s="2" t="str">
        <f t="shared" si="2"/>
        <v>OK</v>
      </c>
      <c r="M37" s="2" t="str">
        <f t="shared" si="0"/>
        <v>OK</v>
      </c>
      <c r="N37" s="2" t="str">
        <f>IFERROR(IF(VLOOKUP(B37,'Reference Data'!$A$2:$F$26,1,FALSE)=B37,"OK","CHECK"),"MISSING")</f>
        <v>OK</v>
      </c>
      <c r="O37" s="1" t="str">
        <f>IFERROR(IF(C37=VLOOKUP(B37,'Reference Data'!$A$2:$F$26,2,FALSE),"OK","CHECK"),"MISSING")</f>
        <v>OK</v>
      </c>
      <c r="P37" s="2" t="str">
        <f>IFERROR(IF(D37=VLOOKUP(B37,'Reference Data'!$A$2:$F$26,3,FALSE),"OK","CHECK"),"MISSING")</f>
        <v>OK</v>
      </c>
      <c r="Q37" s="2" t="str">
        <f>IFERROR(IF(E37=VLOOKUP(B37,'Reference Data'!$A$2:$F$26,4,FALSE),"OK","CHECK"),"MISSING")</f>
        <v>OK</v>
      </c>
      <c r="R37" s="2" t="str">
        <f>IFERROR(IF(F37=VLOOKUP(B37,'Reference Data'!$A$2:$F$26,5,FALSE),"OK","CHECK"),"MISSING")</f>
        <v>OK</v>
      </c>
      <c r="S37" s="1" t="str">
        <f t="shared" si="1"/>
        <v>OK</v>
      </c>
    </row>
    <row r="38" spans="1:19" x14ac:dyDescent="0.3">
      <c r="A38" s="1" t="s">
        <v>95</v>
      </c>
      <c r="B38" s="1" t="s">
        <v>38</v>
      </c>
      <c r="C38" s="1" t="s">
        <v>37</v>
      </c>
      <c r="D38" s="1" t="s">
        <v>8</v>
      </c>
      <c r="E38" s="1" t="s">
        <v>9</v>
      </c>
      <c r="F38" s="1" t="s">
        <v>26</v>
      </c>
      <c r="G38" s="1">
        <v>145</v>
      </c>
      <c r="H38" s="1" t="s">
        <v>87</v>
      </c>
      <c r="I38" s="3">
        <v>46120</v>
      </c>
      <c r="J38" s="3"/>
      <c r="L38" s="2" t="str">
        <f t="shared" si="2"/>
        <v>OK</v>
      </c>
      <c r="M38" s="2" t="str">
        <f t="shared" si="0"/>
        <v>OK</v>
      </c>
      <c r="N38" s="2" t="str">
        <f>IFERROR(IF(VLOOKUP(B38,'Reference Data'!$A$2:$F$26,1,FALSE)=B38,"OK","CHECK"),"MISSING")</f>
        <v>OK</v>
      </c>
      <c r="O38" s="1" t="str">
        <f>IFERROR(IF(C38=VLOOKUP(B38,'Reference Data'!$A$2:$F$26,2,FALSE),"OK","CHECK"),"MISSING")</f>
        <v>OK</v>
      </c>
      <c r="P38" s="2" t="str">
        <f>IFERROR(IF(D38=VLOOKUP(B38,'Reference Data'!$A$2:$F$26,3,FALSE),"OK","CHECK"),"MISSING")</f>
        <v>OK</v>
      </c>
      <c r="Q38" s="2" t="str">
        <f>IFERROR(IF(E38=VLOOKUP(B38,'Reference Data'!$A$2:$F$26,4,FALSE),"OK","CHECK"),"MISSING")</f>
        <v>OK</v>
      </c>
      <c r="R38" s="2" t="str">
        <f>IFERROR(IF(F38=VLOOKUP(B38,'Reference Data'!$A$2:$F$26,5,FALSE),"OK","CHECK"),"MISSING")</f>
        <v>OK</v>
      </c>
      <c r="S38" s="1" t="str">
        <f t="shared" si="1"/>
        <v>OK</v>
      </c>
    </row>
    <row r="39" spans="1:19" x14ac:dyDescent="0.3">
      <c r="A39" s="1" t="s">
        <v>96</v>
      </c>
      <c r="B39" s="1" t="s">
        <v>39</v>
      </c>
      <c r="C39" s="1" t="s">
        <v>40</v>
      </c>
      <c r="D39" s="1" t="s">
        <v>20</v>
      </c>
      <c r="E39" s="1" t="s">
        <v>21</v>
      </c>
      <c r="F39" s="1" t="s">
        <v>18</v>
      </c>
      <c r="G39" s="1">
        <v>175</v>
      </c>
      <c r="H39" s="1" t="s">
        <v>58</v>
      </c>
      <c r="I39" s="3">
        <v>46123</v>
      </c>
      <c r="J39" s="3">
        <v>46124</v>
      </c>
      <c r="L39" s="2" t="str">
        <f>IF(A39="OP"&amp;TEXT(ROW()-1,"000"),"OK","CHECK")</f>
        <v>OK</v>
      </c>
      <c r="M39" s="2" t="str">
        <f t="shared" si="0"/>
        <v>OK</v>
      </c>
      <c r="N39" s="2" t="str">
        <f>IFERROR(IF(VLOOKUP(B39,'Reference Data'!$A$2:$F$26,1,FALSE)=B39,"OK","CHECK"),"MISSING")</f>
        <v>OK</v>
      </c>
      <c r="O39" s="1" t="str">
        <f>IFERROR(IF(C39=VLOOKUP(B39,'Reference Data'!$A$2:$F$26,2,FALSE),"OK","CHECK"),"MISSING")</f>
        <v>OK</v>
      </c>
      <c r="P39" s="2" t="str">
        <f>IFERROR(IF(D39=VLOOKUP(B39,'Reference Data'!$A$2:$F$26,3,FALSE),"OK","CHECK"),"MISSING")</f>
        <v>OK</v>
      </c>
      <c r="Q39" s="2" t="str">
        <f>IFERROR(IF(E39=VLOOKUP(B39,'Reference Data'!$A$2:$F$26,4,FALSE),"OK","CHECK"),"MISSING")</f>
        <v>OK</v>
      </c>
      <c r="R39" s="2" t="str">
        <f>IFERROR(IF(F39=VLOOKUP(B39,'Reference Data'!$A$2:$F$26,5,FALSE),"OK","CHECK"),"MISSING")</f>
        <v>OK</v>
      </c>
      <c r="S39" s="1" t="str">
        <f t="shared" si="1"/>
        <v>OK</v>
      </c>
    </row>
    <row r="40" spans="1:19" x14ac:dyDescent="0.3">
      <c r="A40" s="1" t="s">
        <v>97</v>
      </c>
      <c r="B40" s="1" t="s">
        <v>41</v>
      </c>
      <c r="C40" s="1" t="s">
        <v>40</v>
      </c>
      <c r="D40" s="1" t="s">
        <v>8</v>
      </c>
      <c r="E40" s="1" t="s">
        <v>24</v>
      </c>
      <c r="F40" s="1" t="s">
        <v>15</v>
      </c>
      <c r="G40" s="1">
        <v>78</v>
      </c>
      <c r="H40" s="1" t="s">
        <v>58</v>
      </c>
      <c r="I40" s="3">
        <v>46125</v>
      </c>
      <c r="J40" s="3">
        <v>46127</v>
      </c>
      <c r="L40" s="2" t="str">
        <f t="shared" si="2"/>
        <v>OK</v>
      </c>
      <c r="M40" s="2" t="str">
        <f t="shared" si="0"/>
        <v>OK</v>
      </c>
      <c r="N40" s="2" t="str">
        <f>IFERROR(IF(VLOOKUP(B40,'Reference Data'!$A$2:$F$26,1,FALSE)=B40,"OK","CHECK"),"MISSING")</f>
        <v>OK</v>
      </c>
      <c r="O40" s="1" t="str">
        <f>IFERROR(IF(C40=VLOOKUP(B40,'Reference Data'!$A$2:$F$26,2,FALSE),"OK","CHECK"),"MISSING")</f>
        <v>OK</v>
      </c>
      <c r="P40" s="2" t="str">
        <f>IFERROR(IF(D40=VLOOKUP(B40,'Reference Data'!$A$2:$F$26,3,FALSE),"OK","CHECK"),"MISSING")</f>
        <v>OK</v>
      </c>
      <c r="Q40" s="2" t="str">
        <f>IFERROR(IF(E40=VLOOKUP(B40,'Reference Data'!$A$2:$F$26,4,FALSE),"OK","CHECK"),"MISSING")</f>
        <v>OK</v>
      </c>
      <c r="R40" s="2" t="str">
        <f>IFERROR(IF(F40=VLOOKUP(B40,'Reference Data'!$A$2:$F$26,5,FALSE),"OK","CHECK"),"MISSING")</f>
        <v>OK</v>
      </c>
      <c r="S40" s="1" t="str">
        <f t="shared" si="1"/>
        <v>OK</v>
      </c>
    </row>
    <row r="41" spans="1:19" x14ac:dyDescent="0.3">
      <c r="A41" s="1" t="s">
        <v>98</v>
      </c>
      <c r="B41" s="1" t="s">
        <v>42</v>
      </c>
      <c r="C41" s="1" t="s">
        <v>7</v>
      </c>
      <c r="D41" s="1" t="s">
        <v>32</v>
      </c>
      <c r="E41" s="1" t="s">
        <v>29</v>
      </c>
      <c r="F41" s="1" t="s">
        <v>30</v>
      </c>
      <c r="G41" s="1">
        <v>13</v>
      </c>
      <c r="H41" s="1" t="s">
        <v>58</v>
      </c>
      <c r="I41" s="3">
        <v>46128</v>
      </c>
      <c r="J41" s="3">
        <v>46129</v>
      </c>
      <c r="L41" s="2" t="str">
        <f t="shared" si="2"/>
        <v>OK</v>
      </c>
      <c r="M41" s="2" t="str">
        <f t="shared" si="0"/>
        <v>OK</v>
      </c>
      <c r="N41" s="2" t="str">
        <f>IFERROR(IF(VLOOKUP(B41,'Reference Data'!$A$2:$F$26,1,FALSE)=B41,"OK","CHECK"),"MISSING")</f>
        <v>OK</v>
      </c>
      <c r="O41" s="1" t="str">
        <f>IFERROR(IF(C41=VLOOKUP(B41,'Reference Data'!$A$2:$F$26,2,FALSE),"OK","CHECK"),"MISSING")</f>
        <v>OK</v>
      </c>
      <c r="P41" s="2" t="str">
        <f>IFERROR(IF(D41=VLOOKUP(B41,'Reference Data'!$A$2:$F$26,3,FALSE),"OK","CHECK"),"MISSING")</f>
        <v>OK</v>
      </c>
      <c r="Q41" s="2" t="str">
        <f>IFERROR(IF(E41=VLOOKUP(B41,'Reference Data'!$A$2:$F$26,4,FALSE),"OK","CHECK"),"MISSING")</f>
        <v>OK</v>
      </c>
      <c r="R41" s="2" t="str">
        <f>IFERROR(IF(F41=VLOOKUP(B41,'Reference Data'!$A$2:$F$26,5,FALSE),"OK","CHECK"),"MISSING")</f>
        <v>OK</v>
      </c>
      <c r="S41" s="1" t="str">
        <f t="shared" si="1"/>
        <v>OK</v>
      </c>
    </row>
    <row r="42" spans="1:19" x14ac:dyDescent="0.3">
      <c r="A42" s="1" t="s">
        <v>99</v>
      </c>
      <c r="B42" s="1" t="s">
        <v>43</v>
      </c>
      <c r="C42" s="1" t="s">
        <v>17</v>
      </c>
      <c r="D42" s="1" t="s">
        <v>13</v>
      </c>
      <c r="E42" s="1" t="s">
        <v>14</v>
      </c>
      <c r="F42" s="1" t="s">
        <v>15</v>
      </c>
      <c r="G42" s="1">
        <v>108</v>
      </c>
      <c r="H42" s="1" t="s">
        <v>58</v>
      </c>
      <c r="I42" s="3">
        <v>46130</v>
      </c>
      <c r="J42" s="3">
        <v>46131</v>
      </c>
      <c r="L42" s="2" t="str">
        <f t="shared" si="2"/>
        <v>OK</v>
      </c>
      <c r="M42" s="2" t="str">
        <f t="shared" si="0"/>
        <v>OK</v>
      </c>
      <c r="N42" s="2" t="str">
        <f>IFERROR(IF(VLOOKUP(B42,'Reference Data'!$A$2:$F$26,1,FALSE)=B42,"OK","CHECK"),"MISSING")</f>
        <v>OK</v>
      </c>
      <c r="O42" s="1" t="str">
        <f>IFERROR(IF(C42=VLOOKUP(B42,'Reference Data'!$A$2:$F$26,2,FALSE),"OK","CHECK"),"MISSING")</f>
        <v>OK</v>
      </c>
      <c r="P42" s="2" t="str">
        <f>IFERROR(IF(D42=VLOOKUP(B42,'Reference Data'!$A$2:$F$26,3,FALSE),"OK","CHECK"),"MISSING")</f>
        <v>OK</v>
      </c>
      <c r="Q42" s="2" t="str">
        <f>IFERROR(IF(E42=VLOOKUP(B42,'Reference Data'!$A$2:$F$26,4,FALSE),"OK","CHECK"),"MISSING")</f>
        <v>OK</v>
      </c>
      <c r="R42" s="2" t="str">
        <f>IFERROR(IF(F42=VLOOKUP(B42,'Reference Data'!$A$2:$F$26,5,FALSE),"OK","CHECK"),"MISSING")</f>
        <v>OK</v>
      </c>
      <c r="S42" s="1" t="str">
        <f t="shared" si="1"/>
        <v>OK</v>
      </c>
    </row>
    <row r="43" spans="1:19" x14ac:dyDescent="0.3">
      <c r="A43" s="1" t="s">
        <v>100</v>
      </c>
      <c r="B43" s="1" t="s">
        <v>44</v>
      </c>
      <c r="C43" s="1" t="s">
        <v>23</v>
      </c>
      <c r="D43" s="1" t="s">
        <v>20</v>
      </c>
      <c r="E43" s="1" t="s">
        <v>21</v>
      </c>
      <c r="F43" s="1" t="s">
        <v>10</v>
      </c>
      <c r="G43" s="1">
        <v>155</v>
      </c>
      <c r="H43" s="1" t="s">
        <v>58</v>
      </c>
      <c r="I43" s="3">
        <v>46133</v>
      </c>
      <c r="J43" s="3">
        <v>46135</v>
      </c>
      <c r="L43" s="2" t="str">
        <f t="shared" si="2"/>
        <v>OK</v>
      </c>
      <c r="M43" s="2" t="str">
        <f t="shared" si="0"/>
        <v>OK</v>
      </c>
      <c r="N43" s="2" t="str">
        <f>IFERROR(IF(VLOOKUP(B43,'Reference Data'!$A$2:$F$26,1,FALSE)=B43,"OK","CHECK"),"MISSING")</f>
        <v>OK</v>
      </c>
      <c r="O43" s="1" t="str">
        <f>IFERROR(IF(C43=VLOOKUP(B43,'Reference Data'!$A$2:$F$26,2,FALSE),"OK","CHECK"),"MISSING")</f>
        <v>OK</v>
      </c>
      <c r="P43" s="2" t="str">
        <f>IFERROR(IF(D43=VLOOKUP(B43,'Reference Data'!$A$2:$F$26,3,FALSE),"OK","CHECK"),"MISSING")</f>
        <v>OK</v>
      </c>
      <c r="Q43" s="2" t="str">
        <f>IFERROR(IF(E43=VLOOKUP(B43,'Reference Data'!$A$2:$F$26,4,FALSE),"OK","CHECK"),"MISSING")</f>
        <v>OK</v>
      </c>
      <c r="R43" s="2" t="str">
        <f>IFERROR(IF(F43=VLOOKUP(B43,'Reference Data'!$A$2:$F$26,5,FALSE),"OK","CHECK"),"MISSING")</f>
        <v>OK</v>
      </c>
      <c r="S43" s="1" t="str">
        <f t="shared" si="1"/>
        <v>OK</v>
      </c>
    </row>
    <row r="44" spans="1:19" x14ac:dyDescent="0.3">
      <c r="A44" s="1" t="s">
        <v>101</v>
      </c>
      <c r="B44" s="1" t="s">
        <v>45</v>
      </c>
      <c r="C44" s="1" t="s">
        <v>28</v>
      </c>
      <c r="D44" s="1" t="s">
        <v>8</v>
      </c>
      <c r="E44" s="1" t="s">
        <v>9</v>
      </c>
      <c r="F44" s="1" t="s">
        <v>26</v>
      </c>
      <c r="G44" s="1">
        <v>125</v>
      </c>
      <c r="H44" s="1" t="s">
        <v>58</v>
      </c>
      <c r="I44" s="3">
        <v>46135</v>
      </c>
      <c r="J44" s="3">
        <v>46136</v>
      </c>
      <c r="L44" s="2" t="str">
        <f t="shared" si="2"/>
        <v>OK</v>
      </c>
      <c r="M44" s="2" t="str">
        <f t="shared" si="0"/>
        <v>OK</v>
      </c>
      <c r="N44" s="2" t="str">
        <f>IFERROR(IF(VLOOKUP(B44,'Reference Data'!$A$2:$F$26,1,FALSE)=B44,"OK","CHECK"),"MISSING")</f>
        <v>OK</v>
      </c>
      <c r="O44" s="1" t="str">
        <f>IFERROR(IF(C44=VLOOKUP(B44,'Reference Data'!$A$2:$F$26,2,FALSE),"OK","CHECK"),"MISSING")</f>
        <v>OK</v>
      </c>
      <c r="P44" s="2" t="str">
        <f>IFERROR(IF(D44=VLOOKUP(B44,'Reference Data'!$A$2:$F$26,3,FALSE),"OK","CHECK"),"MISSING")</f>
        <v>OK</v>
      </c>
      <c r="Q44" s="2" t="str">
        <f>IFERROR(IF(E44=VLOOKUP(B44,'Reference Data'!$A$2:$F$26,4,FALSE),"OK","CHECK"),"MISSING")</f>
        <v>OK</v>
      </c>
      <c r="R44" s="2" t="str">
        <f>IFERROR(IF(F44=VLOOKUP(B44,'Reference Data'!$A$2:$F$26,5,FALSE),"OK","CHECK"),"MISSING")</f>
        <v>OK</v>
      </c>
      <c r="S44" s="1" t="str">
        <f t="shared" si="1"/>
        <v>OK</v>
      </c>
    </row>
    <row r="45" spans="1:19" x14ac:dyDescent="0.3">
      <c r="A45" s="1" t="s">
        <v>102</v>
      </c>
      <c r="B45" s="1" t="s">
        <v>46</v>
      </c>
      <c r="C45" s="1" t="s">
        <v>34</v>
      </c>
      <c r="D45" s="1" t="s">
        <v>13</v>
      </c>
      <c r="E45" s="1" t="s">
        <v>14</v>
      </c>
      <c r="F45" s="1" t="s">
        <v>18</v>
      </c>
      <c r="G45" s="1">
        <v>90</v>
      </c>
      <c r="H45" s="1" t="s">
        <v>140</v>
      </c>
      <c r="I45" s="3">
        <v>46138</v>
      </c>
      <c r="J45" s="3"/>
      <c r="L45" s="2" t="str">
        <f t="shared" si="2"/>
        <v>OK</v>
      </c>
      <c r="M45" s="2" t="str">
        <f t="shared" si="0"/>
        <v>OK</v>
      </c>
      <c r="N45" s="2" t="str">
        <f>IFERROR(IF(VLOOKUP(B45,'Reference Data'!$A$2:$F$26,1,FALSE)=B45,"OK","CHECK"),"MISSING")</f>
        <v>OK</v>
      </c>
      <c r="O45" s="1" t="str">
        <f>IFERROR(IF(C45=VLOOKUP(B45,'Reference Data'!$A$2:$F$26,2,FALSE),"OK","CHECK"),"MISSING")</f>
        <v>OK</v>
      </c>
      <c r="P45" s="2" t="str">
        <f>IFERROR(IF(D45=VLOOKUP(B45,'Reference Data'!$A$2:$F$26,3,FALSE),"OK","CHECK"),"MISSING")</f>
        <v>OK</v>
      </c>
      <c r="Q45" s="2" t="str">
        <f>IFERROR(IF(E45=VLOOKUP(B45,'Reference Data'!$A$2:$F$26,4,FALSE),"OK","CHECK"),"MISSING")</f>
        <v>OK</v>
      </c>
      <c r="R45" s="2" t="str">
        <f>IFERROR(IF(F45=VLOOKUP(B45,'Reference Data'!$A$2:$F$26,5,FALSE),"OK","CHECK"),"MISSING")</f>
        <v>OK</v>
      </c>
      <c r="S45" s="1" t="str">
        <f t="shared" si="1"/>
        <v>OK</v>
      </c>
    </row>
    <row r="46" spans="1:19" x14ac:dyDescent="0.3">
      <c r="A46" s="1" t="s">
        <v>103</v>
      </c>
      <c r="B46" s="1" t="s">
        <v>47</v>
      </c>
      <c r="C46" s="1" t="s">
        <v>37</v>
      </c>
      <c r="D46" s="1" t="s">
        <v>20</v>
      </c>
      <c r="E46" s="1" t="s">
        <v>21</v>
      </c>
      <c r="F46" s="1" t="s">
        <v>15</v>
      </c>
      <c r="G46" s="1">
        <v>135</v>
      </c>
      <c r="H46" s="1" t="s">
        <v>58</v>
      </c>
      <c r="I46" s="3">
        <v>46141</v>
      </c>
      <c r="J46" s="3">
        <v>46143</v>
      </c>
      <c r="L46" s="2" t="str">
        <f t="shared" si="2"/>
        <v>OK</v>
      </c>
      <c r="M46" s="2" t="str">
        <f t="shared" si="0"/>
        <v>OK</v>
      </c>
      <c r="N46" s="2" t="str">
        <f>IFERROR(IF(VLOOKUP(B46,'Reference Data'!$A$2:$F$26,1,FALSE)=B46,"OK","CHECK"),"MISSING")</f>
        <v>OK</v>
      </c>
      <c r="O46" s="1" t="str">
        <f>IFERROR(IF(C46=VLOOKUP(B46,'Reference Data'!$A$2:$F$26,2,FALSE),"OK","CHECK"),"MISSING")</f>
        <v>OK</v>
      </c>
      <c r="P46" s="2" t="str">
        <f>IFERROR(IF(D46=VLOOKUP(B46,'Reference Data'!$A$2:$F$26,3,FALSE),"OK","CHECK"),"MISSING")</f>
        <v>OK</v>
      </c>
      <c r="Q46" s="2" t="str">
        <f>IFERROR(IF(E46=VLOOKUP(B46,'Reference Data'!$A$2:$F$26,4,FALSE),"OK","CHECK"),"MISSING")</f>
        <v>OK</v>
      </c>
      <c r="R46" s="2" t="str">
        <f>IFERROR(IF(F46=VLOOKUP(B46,'Reference Data'!$A$2:$F$26,5,FALSE),"OK","CHECK"),"MISSING")</f>
        <v>OK</v>
      </c>
      <c r="S46" s="1" t="str">
        <f t="shared" si="1"/>
        <v>OK</v>
      </c>
    </row>
    <row r="47" spans="1:19" x14ac:dyDescent="0.3">
      <c r="A47" s="1" t="s">
        <v>104</v>
      </c>
      <c r="B47" s="1" t="s">
        <v>48</v>
      </c>
      <c r="C47" s="1" t="s">
        <v>40</v>
      </c>
      <c r="D47" s="1" t="s">
        <v>13</v>
      </c>
      <c r="E47" s="1" t="s">
        <v>14</v>
      </c>
      <c r="F47" s="1" t="s">
        <v>26</v>
      </c>
      <c r="G47" s="1">
        <v>112</v>
      </c>
      <c r="H47" s="1" t="s">
        <v>58</v>
      </c>
      <c r="I47" s="3">
        <v>46143</v>
      </c>
      <c r="J47" s="3">
        <v>46144</v>
      </c>
      <c r="L47" s="2" t="str">
        <f t="shared" si="2"/>
        <v>OK</v>
      </c>
      <c r="M47" s="2" t="str">
        <f t="shared" si="0"/>
        <v>OK</v>
      </c>
      <c r="N47" s="2" t="str">
        <f>IFERROR(IF(VLOOKUP(B47,'Reference Data'!$A$2:$F$26,1,FALSE)=B47,"OK","CHECK"),"MISSING")</f>
        <v>OK</v>
      </c>
      <c r="O47" s="1" t="str">
        <f>IFERROR(IF(C47=VLOOKUP(B47,'Reference Data'!$A$2:$F$26,2,FALSE),"OK","CHECK"),"MISSING")</f>
        <v>OK</v>
      </c>
      <c r="P47" s="2" t="str">
        <f>IFERROR(IF(D47=VLOOKUP(B47,'Reference Data'!$A$2:$F$26,3,FALSE),"OK","CHECK"),"MISSING")</f>
        <v>OK</v>
      </c>
      <c r="Q47" s="2" t="str">
        <f>IFERROR(IF(E47=VLOOKUP(B47,'Reference Data'!$A$2:$F$26,4,FALSE),"OK","CHECK"),"MISSING")</f>
        <v>OK</v>
      </c>
      <c r="R47" s="2" t="str">
        <f>IFERROR(IF(F47=VLOOKUP(B47,'Reference Data'!$A$2:$F$26,5,FALSE),"OK","CHECK"),"MISSING")</f>
        <v>OK</v>
      </c>
      <c r="S47" s="1" t="str">
        <f t="shared" si="1"/>
        <v>OK</v>
      </c>
    </row>
    <row r="48" spans="1:19" x14ac:dyDescent="0.3">
      <c r="A48" s="1" t="s">
        <v>105</v>
      </c>
      <c r="B48" s="1" t="s">
        <v>49</v>
      </c>
      <c r="C48" s="1" t="s">
        <v>7</v>
      </c>
      <c r="D48" s="1" t="s">
        <v>20</v>
      </c>
      <c r="E48" s="1" t="s">
        <v>21</v>
      </c>
      <c r="F48" s="1" t="s">
        <v>26</v>
      </c>
      <c r="G48" s="1">
        <v>145</v>
      </c>
      <c r="H48" s="1" t="s">
        <v>58</v>
      </c>
      <c r="I48" s="3">
        <v>46146</v>
      </c>
      <c r="J48" s="3">
        <v>46147</v>
      </c>
      <c r="L48" s="2" t="str">
        <f t="shared" si="2"/>
        <v>OK</v>
      </c>
      <c r="M48" s="2" t="str">
        <f t="shared" si="0"/>
        <v>OK</v>
      </c>
      <c r="N48" s="2" t="str">
        <f>IFERROR(IF(VLOOKUP(B48,'Reference Data'!$A$2:$F$26,1,FALSE)=B48,"OK","CHECK"),"MISSING")</f>
        <v>OK</v>
      </c>
      <c r="O48" s="1" t="str">
        <f>IFERROR(IF(C48=VLOOKUP(B48,'Reference Data'!$A$2:$F$26,2,FALSE),"OK","CHECK"),"MISSING")</f>
        <v>OK</v>
      </c>
      <c r="P48" s="2" t="str">
        <f>IFERROR(IF(D48=VLOOKUP(B48,'Reference Data'!$A$2:$F$26,3,FALSE),"OK","CHECK"),"MISSING")</f>
        <v>OK</v>
      </c>
      <c r="Q48" s="2" t="str">
        <f>IFERROR(IF(E48=VLOOKUP(B48,'Reference Data'!$A$2:$F$26,4,FALSE),"OK","CHECK"),"MISSING")</f>
        <v>OK</v>
      </c>
      <c r="R48" s="2" t="str">
        <f>IFERROR(IF(F48=VLOOKUP(B48,'Reference Data'!$A$2:$F$26,5,FALSE),"OK","CHECK"),"MISSING")</f>
        <v>OK</v>
      </c>
      <c r="S48" s="1" t="str">
        <f t="shared" si="1"/>
        <v>OK</v>
      </c>
    </row>
    <row r="49" spans="1:19" x14ac:dyDescent="0.3">
      <c r="A49" s="1" t="s">
        <v>106</v>
      </c>
      <c r="B49" s="1" t="s">
        <v>50</v>
      </c>
      <c r="C49" s="1" t="s">
        <v>17</v>
      </c>
      <c r="D49" s="1" t="s">
        <v>32</v>
      </c>
      <c r="E49" s="1" t="s">
        <v>29</v>
      </c>
      <c r="F49" s="1" t="s">
        <v>30</v>
      </c>
      <c r="G49" s="1">
        <v>10</v>
      </c>
      <c r="H49" s="1" t="s">
        <v>87</v>
      </c>
      <c r="I49" s="3">
        <v>46148</v>
      </c>
      <c r="J49" s="3"/>
      <c r="L49" s="2" t="str">
        <f t="shared" si="2"/>
        <v>OK</v>
      </c>
      <c r="M49" s="2" t="str">
        <f t="shared" si="0"/>
        <v>OK</v>
      </c>
      <c r="N49" s="2" t="str">
        <f>IFERROR(IF(VLOOKUP(B49,'Reference Data'!$A$2:$F$26,1,FALSE)=B49,"OK","CHECK"),"MISSING")</f>
        <v>OK</v>
      </c>
      <c r="O49" s="1" t="str">
        <f>IFERROR(IF(C49=VLOOKUP(B49,'Reference Data'!$A$2:$F$26,2,FALSE),"OK","CHECK"),"MISSING")</f>
        <v>OK</v>
      </c>
      <c r="P49" s="2" t="str">
        <f>IFERROR(IF(D49=VLOOKUP(B49,'Reference Data'!$A$2:$F$26,3,FALSE),"OK","CHECK"),"MISSING")</f>
        <v>OK</v>
      </c>
      <c r="Q49" s="2" t="str">
        <f>IFERROR(IF(E49=VLOOKUP(B49,'Reference Data'!$A$2:$F$26,4,FALSE),"OK","CHECK"),"MISSING")</f>
        <v>OK</v>
      </c>
      <c r="R49" s="2" t="str">
        <f>IFERROR(IF(F49=VLOOKUP(B49,'Reference Data'!$A$2:$F$26,5,FALSE),"OK","CHECK"),"MISSING")</f>
        <v>OK</v>
      </c>
      <c r="S49" s="1" t="str">
        <f t="shared" si="1"/>
        <v>OK</v>
      </c>
    </row>
    <row r="50" spans="1:19" x14ac:dyDescent="0.3">
      <c r="A50" s="1" t="s">
        <v>107</v>
      </c>
      <c r="B50" s="1" t="s">
        <v>51</v>
      </c>
      <c r="C50" s="1" t="s">
        <v>23</v>
      </c>
      <c r="D50" s="1" t="s">
        <v>8</v>
      </c>
      <c r="E50" s="1" t="s">
        <v>9</v>
      </c>
      <c r="F50" s="1" t="s">
        <v>10</v>
      </c>
      <c r="G50" s="1">
        <v>195</v>
      </c>
      <c r="H50" s="1" t="s">
        <v>58</v>
      </c>
      <c r="I50" s="3">
        <v>46151</v>
      </c>
      <c r="J50" s="3">
        <v>46152</v>
      </c>
      <c r="L50" s="2" t="str">
        <f t="shared" si="2"/>
        <v>OK</v>
      </c>
      <c r="M50" s="2" t="str">
        <f t="shared" si="0"/>
        <v>OK</v>
      </c>
      <c r="N50" s="2" t="str">
        <f>IFERROR(IF(VLOOKUP(B50,'Reference Data'!$A$2:$F$26,1,FALSE)=B50,"OK","CHECK"),"MISSING")</f>
        <v>OK</v>
      </c>
      <c r="O50" s="1" t="str">
        <f>IFERROR(IF(C50=VLOOKUP(B50,'Reference Data'!$A$2:$F$26,2,FALSE),"OK","CHECK"),"MISSING")</f>
        <v>OK</v>
      </c>
      <c r="P50" s="2" t="str">
        <f>IFERROR(IF(D50=VLOOKUP(B50,'Reference Data'!$A$2:$F$26,3,FALSE),"OK","CHECK"),"MISSING")</f>
        <v>OK</v>
      </c>
      <c r="Q50" s="2" t="str">
        <f>IFERROR(IF(E50=VLOOKUP(B50,'Reference Data'!$A$2:$F$26,4,FALSE),"OK","CHECK"),"MISSING")</f>
        <v>OK</v>
      </c>
      <c r="R50" s="2" t="str">
        <f>IFERROR(IF(F50=VLOOKUP(B50,'Reference Data'!$A$2:$F$26,5,FALSE),"OK","CHECK"),"MISSING")</f>
        <v>OK</v>
      </c>
      <c r="S50" s="1" t="str">
        <f t="shared" si="1"/>
        <v>OK</v>
      </c>
    </row>
    <row r="51" spans="1:19" x14ac:dyDescent="0.3">
      <c r="A51" s="1" t="s">
        <v>108</v>
      </c>
      <c r="B51" s="1" t="s">
        <v>52</v>
      </c>
      <c r="C51" s="1" t="s">
        <v>28</v>
      </c>
      <c r="D51" s="1" t="s">
        <v>13</v>
      </c>
      <c r="E51" s="1" t="s">
        <v>14</v>
      </c>
      <c r="F51" s="1" t="s">
        <v>15</v>
      </c>
      <c r="G51" s="1">
        <v>94</v>
      </c>
      <c r="H51" s="1" t="s">
        <v>58</v>
      </c>
      <c r="I51" s="3">
        <v>46154</v>
      </c>
      <c r="J51" s="3">
        <v>46155</v>
      </c>
      <c r="L51" s="2" t="str">
        <f t="shared" si="2"/>
        <v>OK</v>
      </c>
      <c r="M51" s="2" t="str">
        <f t="shared" si="0"/>
        <v>OK</v>
      </c>
      <c r="N51" s="2" t="str">
        <f>IFERROR(IF(VLOOKUP(B51,'Reference Data'!$A$2:$F$26,1,FALSE)=B51,"OK","CHECK"),"MISSING")</f>
        <v>OK</v>
      </c>
      <c r="O51" s="1" t="str">
        <f>IFERROR(IF(C51=VLOOKUP(B51,'Reference Data'!$A$2:$F$26,2,FALSE),"OK","CHECK"),"MISSING")</f>
        <v>OK</v>
      </c>
      <c r="P51" s="2" t="str">
        <f>IFERROR(IF(D51=VLOOKUP(B51,'Reference Data'!$A$2:$F$26,3,FALSE),"OK","CHECK"),"MISSING")</f>
        <v>OK</v>
      </c>
      <c r="Q51" s="2" t="str">
        <f>IFERROR(IF(E51=VLOOKUP(B51,'Reference Data'!$A$2:$F$26,4,FALSE),"OK","CHECK"),"MISSING")</f>
        <v>OK</v>
      </c>
      <c r="R51" s="2" t="str">
        <f>IFERROR(IF(F51=VLOOKUP(B51,'Reference Data'!$A$2:$F$26,5,FALSE),"OK","CHECK"),"MISSING")</f>
        <v>OK</v>
      </c>
      <c r="S51" s="1" t="str">
        <f t="shared" si="1"/>
        <v>OK</v>
      </c>
    </row>
    <row r="52" spans="1:19" x14ac:dyDescent="0.3">
      <c r="A52" s="1" t="s">
        <v>109</v>
      </c>
      <c r="B52" s="1" t="s">
        <v>6</v>
      </c>
      <c r="C52" s="1" t="s">
        <v>7</v>
      </c>
      <c r="D52" s="1" t="s">
        <v>8</v>
      </c>
      <c r="E52" s="1" t="s">
        <v>9</v>
      </c>
      <c r="F52" s="1" t="s">
        <v>10</v>
      </c>
      <c r="G52" s="1">
        <v>155</v>
      </c>
      <c r="H52" s="1" t="s">
        <v>58</v>
      </c>
      <c r="I52" s="3">
        <v>46156</v>
      </c>
      <c r="J52" s="3">
        <v>46158</v>
      </c>
      <c r="L52" s="2" t="str">
        <f t="shared" si="2"/>
        <v>OK</v>
      </c>
      <c r="M52" s="2" t="str">
        <f t="shared" si="0"/>
        <v>OK</v>
      </c>
      <c r="N52" s="2" t="str">
        <f>IFERROR(IF(VLOOKUP(B52,'Reference Data'!$A$2:$F$26,1,FALSE)=B52,"OK","CHECK"),"MISSING")</f>
        <v>OK</v>
      </c>
      <c r="O52" s="1" t="str">
        <f>IFERROR(IF(C52=VLOOKUP(B52,'Reference Data'!$A$2:$F$26,2,FALSE),"OK","CHECK"),"MISSING")</f>
        <v>OK</v>
      </c>
      <c r="P52" s="2" t="str">
        <f>IFERROR(IF(D52=VLOOKUP(B52,'Reference Data'!$A$2:$F$26,3,FALSE),"OK","CHECK"),"MISSING")</f>
        <v>OK</v>
      </c>
      <c r="Q52" s="2" t="str">
        <f>IFERROR(IF(E52=VLOOKUP(B52,'Reference Data'!$A$2:$F$26,4,FALSE),"OK","CHECK"),"MISSING")</f>
        <v>OK</v>
      </c>
      <c r="R52" s="2" t="str">
        <f>IFERROR(IF(F52=VLOOKUP(B52,'Reference Data'!$A$2:$F$26,5,FALSE),"OK","CHECK"),"MISSING")</f>
        <v>OK</v>
      </c>
      <c r="S52" s="1" t="str">
        <f t="shared" si="1"/>
        <v>OK</v>
      </c>
    </row>
    <row r="53" spans="1:19" x14ac:dyDescent="0.3">
      <c r="A53" s="1" t="s">
        <v>110</v>
      </c>
      <c r="B53" s="1" t="s">
        <v>12</v>
      </c>
      <c r="C53" s="1" t="s">
        <v>7</v>
      </c>
      <c r="D53" s="1" t="s">
        <v>13</v>
      </c>
      <c r="E53" s="1" t="s">
        <v>14</v>
      </c>
      <c r="F53" s="1" t="s">
        <v>15</v>
      </c>
      <c r="G53" s="1">
        <v>98</v>
      </c>
      <c r="H53" s="1" t="s">
        <v>140</v>
      </c>
      <c r="I53" s="3">
        <v>46159</v>
      </c>
      <c r="J53" s="3"/>
      <c r="L53" s="2" t="str">
        <f t="shared" si="2"/>
        <v>OK</v>
      </c>
      <c r="M53" s="2" t="str">
        <f t="shared" si="0"/>
        <v>OK</v>
      </c>
      <c r="N53" s="2" t="str">
        <f>IFERROR(IF(VLOOKUP(B53,'Reference Data'!$A$2:$F$26,1,FALSE)=B53,"OK","CHECK"),"MISSING")</f>
        <v>OK</v>
      </c>
      <c r="O53" s="1" t="str">
        <f>IFERROR(IF(C53=VLOOKUP(B53,'Reference Data'!$A$2:$F$26,2,FALSE),"OK","CHECK"),"MISSING")</f>
        <v>OK</v>
      </c>
      <c r="P53" s="2" t="str">
        <f>IFERROR(IF(D53=VLOOKUP(B53,'Reference Data'!$A$2:$F$26,3,FALSE),"OK","CHECK"),"MISSING")</f>
        <v>OK</v>
      </c>
      <c r="Q53" s="2" t="str">
        <f>IFERROR(IF(E53=VLOOKUP(B53,'Reference Data'!$A$2:$F$26,4,FALSE),"OK","CHECK"),"MISSING")</f>
        <v>OK</v>
      </c>
      <c r="R53" s="2" t="str">
        <f>IFERROR(IF(F53=VLOOKUP(B53,'Reference Data'!$A$2:$F$26,5,FALSE),"OK","CHECK"),"MISSING")</f>
        <v>OK</v>
      </c>
      <c r="S53" s="1" t="str">
        <f t="shared" si="1"/>
        <v>OK</v>
      </c>
    </row>
    <row r="54" spans="1:19" x14ac:dyDescent="0.3">
      <c r="A54" s="1" t="s">
        <v>111</v>
      </c>
      <c r="B54" s="1" t="s">
        <v>16</v>
      </c>
      <c r="C54" s="1" t="s">
        <v>17</v>
      </c>
      <c r="D54" s="1" t="s">
        <v>8</v>
      </c>
      <c r="E54" s="1" t="s">
        <v>9</v>
      </c>
      <c r="F54" s="1" t="s">
        <v>18</v>
      </c>
      <c r="G54" s="1">
        <v>220</v>
      </c>
      <c r="H54" s="1" t="s">
        <v>58</v>
      </c>
      <c r="I54" s="3">
        <v>46161</v>
      </c>
      <c r="J54" s="3">
        <v>46162</v>
      </c>
      <c r="L54" s="2" t="str">
        <f t="shared" si="2"/>
        <v>OK</v>
      </c>
      <c r="M54" s="2" t="str">
        <f t="shared" si="0"/>
        <v>OK</v>
      </c>
      <c r="N54" s="2" t="str">
        <f>IFERROR(IF(VLOOKUP(B54,'Reference Data'!$A$2:$F$26,1,FALSE)=B54,"OK","CHECK"),"MISSING")</f>
        <v>OK</v>
      </c>
      <c r="O54" s="1" t="str">
        <f>IFERROR(IF(C54=VLOOKUP(B54,'Reference Data'!$A$2:$F$26,2,FALSE),"OK","CHECK"),"MISSING")</f>
        <v>OK</v>
      </c>
      <c r="P54" s="2" t="str">
        <f>IFERROR(IF(D54=VLOOKUP(B54,'Reference Data'!$A$2:$F$26,3,FALSE),"OK","CHECK"),"MISSING")</f>
        <v>OK</v>
      </c>
      <c r="Q54" s="2" t="str">
        <f>IFERROR(IF(E54=VLOOKUP(B54,'Reference Data'!$A$2:$F$26,4,FALSE),"OK","CHECK"),"MISSING")</f>
        <v>OK</v>
      </c>
      <c r="R54" s="2" t="str">
        <f>IFERROR(IF(F54=VLOOKUP(B54,'Reference Data'!$A$2:$F$26,5,FALSE),"OK","CHECK"),"MISSING")</f>
        <v>OK</v>
      </c>
      <c r="S54" s="1" t="str">
        <f t="shared" si="1"/>
        <v>OK</v>
      </c>
    </row>
    <row r="55" spans="1:19" x14ac:dyDescent="0.3">
      <c r="A55" s="1" t="s">
        <v>112</v>
      </c>
      <c r="B55" s="1" t="s">
        <v>19</v>
      </c>
      <c r="C55" s="1" t="s">
        <v>17</v>
      </c>
      <c r="D55" s="1" t="s">
        <v>20</v>
      </c>
      <c r="E55" s="1" t="s">
        <v>21</v>
      </c>
      <c r="F55" s="1" t="s">
        <v>10</v>
      </c>
      <c r="G55" s="1">
        <v>170</v>
      </c>
      <c r="H55" s="1" t="s">
        <v>58</v>
      </c>
      <c r="I55" s="3">
        <v>46164</v>
      </c>
      <c r="J55" s="3">
        <v>46166</v>
      </c>
      <c r="L55" s="2" t="str">
        <f t="shared" si="2"/>
        <v>OK</v>
      </c>
      <c r="M55" s="2" t="str">
        <f t="shared" si="0"/>
        <v>OK</v>
      </c>
      <c r="N55" s="2" t="str">
        <f>IFERROR(IF(VLOOKUP(B55,'Reference Data'!$A$2:$F$26,1,FALSE)=B55,"OK","CHECK"),"MISSING")</f>
        <v>OK</v>
      </c>
      <c r="O55" s="1" t="str">
        <f>IFERROR(IF(C55=VLOOKUP(B55,'Reference Data'!$A$2:$F$26,2,FALSE),"OK","CHECK"),"MISSING")</f>
        <v>OK</v>
      </c>
      <c r="P55" s="2" t="str">
        <f>IFERROR(IF(D55=VLOOKUP(B55,'Reference Data'!$A$2:$F$26,3,FALSE),"OK","CHECK"),"MISSING")</f>
        <v>OK</v>
      </c>
      <c r="Q55" s="2" t="str">
        <f>IFERROR(IF(E55=VLOOKUP(B55,'Reference Data'!$A$2:$F$26,4,FALSE),"OK","CHECK"),"MISSING")</f>
        <v>OK</v>
      </c>
      <c r="R55" s="2" t="str">
        <f>IFERROR(IF(F55=VLOOKUP(B55,'Reference Data'!$A$2:$F$26,5,FALSE),"OK","CHECK"),"MISSING")</f>
        <v>OK</v>
      </c>
      <c r="S55" s="1" t="str">
        <f t="shared" si="1"/>
        <v>OK</v>
      </c>
    </row>
    <row r="56" spans="1:19" x14ac:dyDescent="0.3">
      <c r="A56" s="1" t="s">
        <v>113</v>
      </c>
      <c r="B56" s="1" t="s">
        <v>22</v>
      </c>
      <c r="C56" s="1" t="s">
        <v>23</v>
      </c>
      <c r="D56" s="1" t="s">
        <v>8</v>
      </c>
      <c r="E56" s="1" t="s">
        <v>24</v>
      </c>
      <c r="F56" s="1" t="s">
        <v>15</v>
      </c>
      <c r="G56" s="1">
        <v>85</v>
      </c>
      <c r="H56" s="1" t="s">
        <v>58</v>
      </c>
      <c r="I56" s="3">
        <v>46166</v>
      </c>
      <c r="J56" s="3">
        <v>46167</v>
      </c>
      <c r="L56" s="2" t="str">
        <f t="shared" si="2"/>
        <v>OK</v>
      </c>
      <c r="M56" s="2" t="str">
        <f t="shared" si="0"/>
        <v>OK</v>
      </c>
      <c r="N56" s="2" t="str">
        <f>IFERROR(IF(VLOOKUP(B56,'Reference Data'!$A$2:$F$26,1,FALSE)=B56,"OK","CHECK"),"MISSING")</f>
        <v>OK</v>
      </c>
      <c r="O56" s="1" t="str">
        <f>IFERROR(IF(C56=VLOOKUP(B56,'Reference Data'!$A$2:$F$26,2,FALSE),"OK","CHECK"),"MISSING")</f>
        <v>OK</v>
      </c>
      <c r="P56" s="2" t="str">
        <f>IFERROR(IF(D56=VLOOKUP(B56,'Reference Data'!$A$2:$F$26,3,FALSE),"OK","CHECK"),"MISSING")</f>
        <v>OK</v>
      </c>
      <c r="Q56" s="2" t="str">
        <f>IFERROR(IF(E56=VLOOKUP(B56,'Reference Data'!$A$2:$F$26,4,FALSE),"OK","CHECK"),"MISSING")</f>
        <v>OK</v>
      </c>
      <c r="R56" s="2" t="str">
        <f>IFERROR(IF(F56=VLOOKUP(B56,'Reference Data'!$A$2:$F$26,5,FALSE),"OK","CHECK"),"MISSING")</f>
        <v>OK</v>
      </c>
      <c r="S56" s="1" t="str">
        <f t="shared" si="1"/>
        <v>OK</v>
      </c>
    </row>
    <row r="57" spans="1:19" x14ac:dyDescent="0.3">
      <c r="A57" s="1" t="s">
        <v>114</v>
      </c>
      <c r="B57" s="1" t="s">
        <v>25</v>
      </c>
      <c r="C57" s="1" t="s">
        <v>23</v>
      </c>
      <c r="D57" s="1" t="s">
        <v>13</v>
      </c>
      <c r="E57" s="1" t="s">
        <v>14</v>
      </c>
      <c r="F57" s="1" t="s">
        <v>26</v>
      </c>
      <c r="G57" s="1">
        <v>100</v>
      </c>
      <c r="H57" s="1" t="s">
        <v>58</v>
      </c>
      <c r="I57" s="3">
        <v>46169</v>
      </c>
      <c r="J57" s="3">
        <v>46170</v>
      </c>
      <c r="L57" s="2" t="str">
        <f t="shared" si="2"/>
        <v>OK</v>
      </c>
      <c r="M57" s="2" t="str">
        <f t="shared" si="0"/>
        <v>OK</v>
      </c>
      <c r="N57" s="2" t="str">
        <f>IFERROR(IF(VLOOKUP(B57,'Reference Data'!$A$2:$F$26,1,FALSE)=B57,"OK","CHECK"),"MISSING")</f>
        <v>OK</v>
      </c>
      <c r="O57" s="1" t="str">
        <f>IFERROR(IF(C57=VLOOKUP(B57,'Reference Data'!$A$2:$F$26,2,FALSE),"OK","CHECK"),"MISSING")</f>
        <v>OK</v>
      </c>
      <c r="P57" s="2" t="str">
        <f>IFERROR(IF(D57=VLOOKUP(B57,'Reference Data'!$A$2:$F$26,3,FALSE),"OK","CHECK"),"MISSING")</f>
        <v>OK</v>
      </c>
      <c r="Q57" s="2" t="str">
        <f>IFERROR(IF(E57=VLOOKUP(B57,'Reference Data'!$A$2:$F$26,4,FALSE),"OK","CHECK"),"MISSING")</f>
        <v>OK</v>
      </c>
      <c r="R57" s="2" t="str">
        <f>IFERROR(IF(F57=VLOOKUP(B57,'Reference Data'!$A$2:$F$26,5,FALSE),"OK","CHECK"),"MISSING")</f>
        <v>OK</v>
      </c>
      <c r="S57" s="1" t="str">
        <f t="shared" si="1"/>
        <v>OK</v>
      </c>
    </row>
    <row r="58" spans="1:19" x14ac:dyDescent="0.3">
      <c r="A58" s="1" t="s">
        <v>115</v>
      </c>
      <c r="B58" s="1" t="s">
        <v>27</v>
      </c>
      <c r="C58" s="1" t="s">
        <v>28</v>
      </c>
      <c r="D58" s="1" t="s">
        <v>8</v>
      </c>
      <c r="E58" s="1" t="s">
        <v>29</v>
      </c>
      <c r="F58" s="1" t="s">
        <v>30</v>
      </c>
      <c r="G58" s="1">
        <v>15</v>
      </c>
      <c r="H58" s="1" t="s">
        <v>58</v>
      </c>
      <c r="I58" s="3">
        <v>46172</v>
      </c>
      <c r="J58" s="3">
        <v>46174</v>
      </c>
      <c r="L58" s="2" t="str">
        <f t="shared" si="2"/>
        <v>OK</v>
      </c>
      <c r="M58" s="2" t="str">
        <f t="shared" si="0"/>
        <v>OK</v>
      </c>
      <c r="N58" s="2" t="str">
        <f>IFERROR(IF(VLOOKUP(B58,'Reference Data'!$A$2:$F$26,1,FALSE)=B58,"OK","CHECK"),"MISSING")</f>
        <v>OK</v>
      </c>
      <c r="O58" s="1" t="str">
        <f>IFERROR(IF(C58=VLOOKUP(B58,'Reference Data'!$A$2:$F$26,2,FALSE),"OK","CHECK"),"MISSING")</f>
        <v>OK</v>
      </c>
      <c r="P58" s="2" t="str">
        <f>IFERROR(IF(D58=VLOOKUP(B58,'Reference Data'!$A$2:$F$26,3,FALSE),"OK","CHECK"),"MISSING")</f>
        <v>OK</v>
      </c>
      <c r="Q58" s="2" t="str">
        <f>IFERROR(IF(E58=VLOOKUP(B58,'Reference Data'!$A$2:$F$26,4,FALSE),"OK","CHECK"),"MISSING")</f>
        <v>OK</v>
      </c>
      <c r="R58" s="2" t="str">
        <f>IFERROR(IF(F58=VLOOKUP(B58,'Reference Data'!$A$2:$F$26,5,FALSE),"OK","CHECK"),"MISSING")</f>
        <v>OK</v>
      </c>
      <c r="S58" s="1" t="str">
        <f t="shared" si="1"/>
        <v>OK</v>
      </c>
    </row>
    <row r="59" spans="1:19" x14ac:dyDescent="0.3">
      <c r="A59" s="1" t="s">
        <v>116</v>
      </c>
      <c r="B59" s="1" t="s">
        <v>31</v>
      </c>
      <c r="C59" s="1" t="s">
        <v>28</v>
      </c>
      <c r="D59" s="1" t="s">
        <v>32</v>
      </c>
      <c r="E59" s="1" t="s">
        <v>29</v>
      </c>
      <c r="F59" s="1" t="s">
        <v>30</v>
      </c>
      <c r="G59" s="1">
        <v>12</v>
      </c>
      <c r="H59" s="1" t="s">
        <v>58</v>
      </c>
      <c r="I59" s="3">
        <v>46174</v>
      </c>
      <c r="J59" s="3">
        <v>46175</v>
      </c>
      <c r="L59" s="2" t="str">
        <f t="shared" si="2"/>
        <v>OK</v>
      </c>
      <c r="M59" s="2" t="str">
        <f t="shared" si="0"/>
        <v>OK</v>
      </c>
      <c r="N59" s="2" t="str">
        <f>IFERROR(IF(VLOOKUP(B59,'Reference Data'!$A$2:$F$26,1,FALSE)=B59,"OK","CHECK"),"MISSING")</f>
        <v>OK</v>
      </c>
      <c r="O59" s="1" t="str">
        <f>IFERROR(IF(C59=VLOOKUP(B59,'Reference Data'!$A$2:$F$26,2,FALSE),"OK","CHECK"),"MISSING")</f>
        <v>OK</v>
      </c>
      <c r="P59" s="2" t="str">
        <f>IFERROR(IF(D59=VLOOKUP(B59,'Reference Data'!$A$2:$F$26,3,FALSE),"OK","CHECK"),"MISSING")</f>
        <v>OK</v>
      </c>
      <c r="Q59" s="2" t="str">
        <f>IFERROR(IF(E59=VLOOKUP(B59,'Reference Data'!$A$2:$F$26,4,FALSE),"OK","CHECK"),"MISSING")</f>
        <v>OK</v>
      </c>
      <c r="R59" s="2" t="str">
        <f>IFERROR(IF(F59=VLOOKUP(B59,'Reference Data'!$A$2:$F$26,5,FALSE),"OK","CHECK"),"MISSING")</f>
        <v>OK</v>
      </c>
      <c r="S59" s="1" t="str">
        <f t="shared" si="1"/>
        <v>OK</v>
      </c>
    </row>
    <row r="60" spans="1:19" x14ac:dyDescent="0.3">
      <c r="A60" s="1" t="s">
        <v>117</v>
      </c>
      <c r="B60" s="1" t="s">
        <v>33</v>
      </c>
      <c r="C60" s="1" t="s">
        <v>34</v>
      </c>
      <c r="D60" s="1" t="s">
        <v>20</v>
      </c>
      <c r="E60" s="1" t="s">
        <v>21</v>
      </c>
      <c r="F60" s="1" t="s">
        <v>26</v>
      </c>
      <c r="G60" s="1">
        <v>195</v>
      </c>
      <c r="H60" s="1" t="s">
        <v>87</v>
      </c>
      <c r="I60" s="3">
        <v>46177</v>
      </c>
      <c r="J60" s="3"/>
      <c r="L60" s="2" t="str">
        <f t="shared" si="2"/>
        <v>OK</v>
      </c>
      <c r="M60" s="2" t="str">
        <f t="shared" si="0"/>
        <v>OK</v>
      </c>
      <c r="N60" s="2" t="str">
        <f>IFERROR(IF(VLOOKUP(B60,'Reference Data'!$A$2:$F$26,1,FALSE)=B60,"OK","CHECK"),"MISSING")</f>
        <v>OK</v>
      </c>
      <c r="O60" s="1" t="str">
        <f>IFERROR(IF(C60=VLOOKUP(B60,'Reference Data'!$A$2:$F$26,2,FALSE),"OK","CHECK"),"MISSING")</f>
        <v>OK</v>
      </c>
      <c r="P60" s="2" t="str">
        <f>IFERROR(IF(D60=VLOOKUP(B60,'Reference Data'!$A$2:$F$26,3,FALSE),"OK","CHECK"),"MISSING")</f>
        <v>OK</v>
      </c>
      <c r="Q60" s="2" t="str">
        <f>IFERROR(IF(E60=VLOOKUP(B60,'Reference Data'!$A$2:$F$26,4,FALSE),"OK","CHECK"),"MISSING")</f>
        <v>OK</v>
      </c>
      <c r="R60" s="2" t="str">
        <f>IFERROR(IF(F60=VLOOKUP(B60,'Reference Data'!$A$2:$F$26,5,FALSE),"OK","CHECK"),"MISSING")</f>
        <v>OK</v>
      </c>
      <c r="S60" s="1" t="str">
        <f t="shared" si="1"/>
        <v>OK</v>
      </c>
    </row>
    <row r="61" spans="1:19" x14ac:dyDescent="0.3">
      <c r="A61" s="1" t="s">
        <v>118</v>
      </c>
      <c r="B61" s="1" t="s">
        <v>35</v>
      </c>
      <c r="C61" s="1" t="s">
        <v>34</v>
      </c>
      <c r="D61" s="1" t="s">
        <v>8</v>
      </c>
      <c r="E61" s="1" t="s">
        <v>24</v>
      </c>
      <c r="F61" s="1" t="s">
        <v>18</v>
      </c>
      <c r="G61" s="1">
        <v>120</v>
      </c>
      <c r="H61" s="1" t="s">
        <v>58</v>
      </c>
      <c r="I61" s="3">
        <v>46179</v>
      </c>
      <c r="J61" s="3">
        <v>46181</v>
      </c>
      <c r="L61" s="2" t="str">
        <f t="shared" si="2"/>
        <v>OK</v>
      </c>
      <c r="M61" s="2" t="str">
        <f t="shared" si="0"/>
        <v>OK</v>
      </c>
      <c r="N61" s="2" t="str">
        <f>IFERROR(IF(VLOOKUP(B61,'Reference Data'!$A$2:$F$26,1,FALSE)=B61,"OK","CHECK"),"MISSING")</f>
        <v>OK</v>
      </c>
      <c r="O61" s="1" t="str">
        <f>IFERROR(IF(C61=VLOOKUP(B61,'Reference Data'!$A$2:$F$26,2,FALSE),"OK","CHECK"),"MISSING")</f>
        <v>OK</v>
      </c>
      <c r="P61" s="2" t="str">
        <f>IFERROR(IF(D61=VLOOKUP(B61,'Reference Data'!$A$2:$F$26,3,FALSE),"OK","CHECK"),"MISSING")</f>
        <v>OK</v>
      </c>
      <c r="Q61" s="2" t="str">
        <f>IFERROR(IF(E61=VLOOKUP(B61,'Reference Data'!$A$2:$F$26,4,FALSE),"OK","CHECK"),"MISSING")</f>
        <v>OK</v>
      </c>
      <c r="R61" s="2" t="str">
        <f>IFERROR(IF(F61=VLOOKUP(B61,'Reference Data'!$A$2:$F$26,5,FALSE),"OK","CHECK"),"MISSING")</f>
        <v>OK</v>
      </c>
      <c r="S61" s="1" t="str">
        <f t="shared" si="1"/>
        <v>OK</v>
      </c>
    </row>
    <row r="62" spans="1:19" x14ac:dyDescent="0.3">
      <c r="A62" s="1" t="s">
        <v>119</v>
      </c>
      <c r="B62" s="1" t="s">
        <v>36</v>
      </c>
      <c r="C62" s="1" t="s">
        <v>37</v>
      </c>
      <c r="D62" s="1" t="s">
        <v>13</v>
      </c>
      <c r="E62" s="1" t="s">
        <v>14</v>
      </c>
      <c r="F62" s="1" t="s">
        <v>10</v>
      </c>
      <c r="G62" s="1">
        <v>110</v>
      </c>
      <c r="H62" s="1" t="s">
        <v>58</v>
      </c>
      <c r="I62" s="3">
        <v>46182</v>
      </c>
      <c r="J62" s="3">
        <v>46183</v>
      </c>
      <c r="L62" s="2" t="str">
        <f t="shared" si="2"/>
        <v>OK</v>
      </c>
      <c r="M62" s="2" t="str">
        <f t="shared" si="0"/>
        <v>OK</v>
      </c>
      <c r="N62" s="2" t="str">
        <f>IFERROR(IF(VLOOKUP(B62,'Reference Data'!$A$2:$F$26,1,FALSE)=B62,"OK","CHECK"),"MISSING")</f>
        <v>OK</v>
      </c>
      <c r="O62" s="1" t="str">
        <f>IFERROR(IF(C62=VLOOKUP(B62,'Reference Data'!$A$2:$F$26,2,FALSE),"OK","CHECK"),"MISSING")</f>
        <v>OK</v>
      </c>
      <c r="P62" s="2" t="str">
        <f>IFERROR(IF(D62=VLOOKUP(B62,'Reference Data'!$A$2:$F$26,3,FALSE),"OK","CHECK"),"MISSING")</f>
        <v>OK</v>
      </c>
      <c r="Q62" s="2" t="str">
        <f>IFERROR(IF(E62=VLOOKUP(B62,'Reference Data'!$A$2:$F$26,4,FALSE),"OK","CHECK"),"MISSING")</f>
        <v>OK</v>
      </c>
      <c r="R62" s="2" t="str">
        <f>IFERROR(IF(F62=VLOOKUP(B62,'Reference Data'!$A$2:$F$26,5,FALSE),"OK","CHECK"),"MISSING")</f>
        <v>OK</v>
      </c>
      <c r="S62" s="1" t="str">
        <f t="shared" si="1"/>
        <v>OK</v>
      </c>
    </row>
    <row r="63" spans="1:19" x14ac:dyDescent="0.3">
      <c r="A63" s="1" t="s">
        <v>120</v>
      </c>
      <c r="B63" s="1" t="s">
        <v>38</v>
      </c>
      <c r="C63" s="1" t="s">
        <v>37</v>
      </c>
      <c r="D63" s="1" t="s">
        <v>8</v>
      </c>
      <c r="E63" s="1" t="s">
        <v>9</v>
      </c>
      <c r="F63" s="1" t="s">
        <v>26</v>
      </c>
      <c r="G63" s="1">
        <v>150</v>
      </c>
      <c r="H63" s="1" t="s">
        <v>58</v>
      </c>
      <c r="I63" s="3">
        <v>46185</v>
      </c>
      <c r="J63" s="3">
        <v>46186</v>
      </c>
      <c r="L63" s="2" t="str">
        <f t="shared" si="2"/>
        <v>OK</v>
      </c>
      <c r="M63" s="2" t="str">
        <f t="shared" si="0"/>
        <v>OK</v>
      </c>
      <c r="N63" s="2" t="str">
        <f>IFERROR(IF(VLOOKUP(B63,'Reference Data'!$A$2:$F$26,1,FALSE)=B63,"OK","CHECK"),"MISSING")</f>
        <v>OK</v>
      </c>
      <c r="O63" s="1" t="str">
        <f>IFERROR(IF(C63=VLOOKUP(B63,'Reference Data'!$A$2:$F$26,2,FALSE),"OK","CHECK"),"MISSING")</f>
        <v>OK</v>
      </c>
      <c r="P63" s="2" t="str">
        <f>IFERROR(IF(D63=VLOOKUP(B63,'Reference Data'!$A$2:$F$26,3,FALSE),"OK","CHECK"),"MISSING")</f>
        <v>OK</v>
      </c>
      <c r="Q63" s="2" t="str">
        <f>IFERROR(IF(E63=VLOOKUP(B63,'Reference Data'!$A$2:$F$26,4,FALSE),"OK","CHECK"),"MISSING")</f>
        <v>OK</v>
      </c>
      <c r="R63" s="2" t="str">
        <f>IFERROR(IF(F63=VLOOKUP(B63,'Reference Data'!$A$2:$F$26,5,FALSE),"OK","CHECK"),"MISSING")</f>
        <v>OK</v>
      </c>
      <c r="S63" s="1" t="str">
        <f t="shared" si="1"/>
        <v>OK</v>
      </c>
    </row>
    <row r="64" spans="1:19" x14ac:dyDescent="0.3">
      <c r="A64" s="1" t="s">
        <v>121</v>
      </c>
      <c r="B64" s="1" t="s">
        <v>39</v>
      </c>
      <c r="C64" s="1" t="s">
        <v>40</v>
      </c>
      <c r="D64" s="1" t="s">
        <v>20</v>
      </c>
      <c r="E64" s="1" t="s">
        <v>21</v>
      </c>
      <c r="F64" s="1" t="s">
        <v>18</v>
      </c>
      <c r="G64" s="1">
        <v>185</v>
      </c>
      <c r="H64" s="1" t="s">
        <v>58</v>
      </c>
      <c r="I64" s="3">
        <v>46187</v>
      </c>
      <c r="J64" s="3">
        <v>46189</v>
      </c>
      <c r="L64" s="2" t="str">
        <f t="shared" si="2"/>
        <v>OK</v>
      </c>
      <c r="M64" s="2" t="str">
        <f t="shared" si="0"/>
        <v>OK</v>
      </c>
      <c r="N64" s="2" t="str">
        <f>IFERROR(IF(VLOOKUP(B64,'Reference Data'!$A$2:$F$26,1,FALSE)=B64,"OK","CHECK"),"MISSING")</f>
        <v>OK</v>
      </c>
      <c r="O64" s="1" t="str">
        <f>IFERROR(IF(C64=VLOOKUP(B64,'Reference Data'!$A$2:$F$26,2,FALSE),"OK","CHECK"),"MISSING")</f>
        <v>OK</v>
      </c>
      <c r="P64" s="2" t="str">
        <f>IFERROR(IF(D64=VLOOKUP(B64,'Reference Data'!$A$2:$F$26,3,FALSE),"OK","CHECK"),"MISSING")</f>
        <v>OK</v>
      </c>
      <c r="Q64" s="2" t="str">
        <f>IFERROR(IF(E64=VLOOKUP(B64,'Reference Data'!$A$2:$F$26,4,FALSE),"OK","CHECK"),"MISSING")</f>
        <v>OK</v>
      </c>
      <c r="R64" s="2" t="str">
        <f>IFERROR(IF(F64=VLOOKUP(B64,'Reference Data'!$A$2:$F$26,5,FALSE),"OK","CHECK"),"MISSING")</f>
        <v>OK</v>
      </c>
      <c r="S64" s="1" t="str">
        <f t="shared" si="1"/>
        <v>OK</v>
      </c>
    </row>
    <row r="65" spans="1:19" x14ac:dyDescent="0.3">
      <c r="A65" s="1" t="s">
        <v>122</v>
      </c>
      <c r="B65" s="1" t="s">
        <v>41</v>
      </c>
      <c r="C65" s="1" t="s">
        <v>40</v>
      </c>
      <c r="D65" s="1" t="s">
        <v>8</v>
      </c>
      <c r="E65" s="1" t="s">
        <v>24</v>
      </c>
      <c r="F65" s="1" t="s">
        <v>15</v>
      </c>
      <c r="G65" s="1">
        <v>82</v>
      </c>
      <c r="H65" s="1" t="s">
        <v>140</v>
      </c>
      <c r="I65" s="3">
        <v>46190</v>
      </c>
      <c r="J65" s="3"/>
      <c r="L65" s="2" t="str">
        <f t="shared" si="2"/>
        <v>OK</v>
      </c>
      <c r="M65" s="2" t="str">
        <f>IF(OR(AND(H65="Completed",J65&lt;&gt;""),AND(OR(H65="Pending",H65="In Progress"),J65="")),"OK","CHECK")</f>
        <v>OK</v>
      </c>
      <c r="N65" s="2" t="str">
        <f>IFERROR(IF(VLOOKUP(B65,'Reference Data'!$A$2:$F$26,1,FALSE)=B65,"OK","CHECK"),"MISSING")</f>
        <v>OK</v>
      </c>
      <c r="O65" s="1" t="str">
        <f>IFERROR(IF(C65=VLOOKUP(B65,'Reference Data'!$A$2:$F$26,2,FALSE),"OK","CHECK"),"MISSING")</f>
        <v>OK</v>
      </c>
      <c r="P65" s="2" t="str">
        <f>IFERROR(IF(D65=VLOOKUP(B65,'Reference Data'!$A$2:$F$26,3,FALSE),"OK","CHECK"),"MISSING")</f>
        <v>OK</v>
      </c>
      <c r="Q65" s="2" t="str">
        <f>IFERROR(IF(E65=VLOOKUP(B65,'Reference Data'!$A$2:$F$26,4,FALSE),"OK","CHECK"),"MISSING")</f>
        <v>OK</v>
      </c>
      <c r="R65" s="2" t="str">
        <f>IFERROR(IF(F65=VLOOKUP(B65,'Reference Data'!$A$2:$F$26,5,FALSE),"OK","CHECK"),"MISSING")</f>
        <v>OK</v>
      </c>
      <c r="S65" s="1" t="str">
        <f t="shared" si="1"/>
        <v>OK</v>
      </c>
    </row>
    <row r="66" spans="1:19" x14ac:dyDescent="0.3">
      <c r="A66" s="1" t="s">
        <v>123</v>
      </c>
      <c r="B66" s="1" t="s">
        <v>42</v>
      </c>
      <c r="C66" s="1" t="s">
        <v>7</v>
      </c>
      <c r="D66" s="1" t="s">
        <v>32</v>
      </c>
      <c r="E66" s="1" t="s">
        <v>29</v>
      </c>
      <c r="F66" s="1" t="s">
        <v>30</v>
      </c>
      <c r="G66" s="1">
        <v>14</v>
      </c>
      <c r="H66" s="1" t="s">
        <v>58</v>
      </c>
      <c r="I66" s="3">
        <v>46192</v>
      </c>
      <c r="J66" s="3">
        <v>46193</v>
      </c>
      <c r="L66" s="2" t="str">
        <f t="shared" si="2"/>
        <v>OK</v>
      </c>
      <c r="M66" s="2" t="str">
        <f t="shared" si="0"/>
        <v>OK</v>
      </c>
      <c r="N66" s="2" t="str">
        <f>IFERROR(IF(VLOOKUP(B66,'Reference Data'!$A$2:$F$26,1,FALSE)=B66,"OK","CHECK"),"MISSING")</f>
        <v>OK</v>
      </c>
      <c r="O66" s="1" t="str">
        <f>IFERROR(IF(C66=VLOOKUP(B66,'Reference Data'!$A$2:$F$26,2,FALSE),"OK","CHECK"),"MISSING")</f>
        <v>OK</v>
      </c>
      <c r="P66" s="2" t="str">
        <f>IFERROR(IF(D66=VLOOKUP(B66,'Reference Data'!$A$2:$F$26,3,FALSE),"OK","CHECK"),"MISSING")</f>
        <v>OK</v>
      </c>
      <c r="Q66" s="2" t="str">
        <f>IFERROR(IF(E66=VLOOKUP(B66,'Reference Data'!$A$2:$F$26,4,FALSE),"OK","CHECK"),"MISSING")</f>
        <v>OK</v>
      </c>
      <c r="R66" s="2" t="str">
        <f>IFERROR(IF(F66=VLOOKUP(B66,'Reference Data'!$A$2:$F$26,5,FALSE),"OK","CHECK"),"MISSING")</f>
        <v>OK</v>
      </c>
      <c r="S66" s="1" t="str">
        <f t="shared" si="1"/>
        <v>OK</v>
      </c>
    </row>
    <row r="67" spans="1:19" x14ac:dyDescent="0.3">
      <c r="A67" s="1" t="s">
        <v>124</v>
      </c>
      <c r="B67" s="1" t="s">
        <v>43</v>
      </c>
      <c r="C67" s="1" t="s">
        <v>17</v>
      </c>
      <c r="D67" s="1" t="s">
        <v>13</v>
      </c>
      <c r="E67" s="1" t="s">
        <v>14</v>
      </c>
      <c r="F67" s="1" t="s">
        <v>15</v>
      </c>
      <c r="G67" s="1">
        <v>115</v>
      </c>
      <c r="H67" s="1" t="s">
        <v>58</v>
      </c>
      <c r="I67" s="3">
        <v>46195</v>
      </c>
      <c r="J67" s="3">
        <v>46197</v>
      </c>
      <c r="L67" s="2" t="str">
        <f t="shared" si="2"/>
        <v>OK</v>
      </c>
      <c r="M67" s="2" t="str">
        <f t="shared" ref="M67:M81" si="3">IF(OR(AND(H67="Completed",J67&lt;&gt;""),AND(OR(H67="Pending",H67="In Progress"),J67="")),"OK","CHECK")</f>
        <v>OK</v>
      </c>
      <c r="N67" s="2" t="str">
        <f>IFERROR(IF(VLOOKUP(B67,'Reference Data'!$A$2:$F$26,1,FALSE)=B67,"OK","CHECK"),"MISSING")</f>
        <v>OK</v>
      </c>
      <c r="O67" s="1" t="str">
        <f>IFERROR(IF(C67=VLOOKUP(B67,'Reference Data'!$A$2:$F$26,2,FALSE),"OK","CHECK"),"MISSING")</f>
        <v>OK</v>
      </c>
      <c r="P67" s="2" t="str">
        <f>IFERROR(IF(D67=VLOOKUP(B67,'Reference Data'!$A$2:$F$26,3,FALSE),"OK","CHECK"),"MISSING")</f>
        <v>OK</v>
      </c>
      <c r="Q67" s="2" t="str">
        <f>IFERROR(IF(E67=VLOOKUP(B67,'Reference Data'!$A$2:$F$26,4,FALSE),"OK","CHECK"),"MISSING")</f>
        <v>OK</v>
      </c>
      <c r="R67" s="2" t="str">
        <f>IFERROR(IF(F67=VLOOKUP(B67,'Reference Data'!$A$2:$F$26,5,FALSE),"OK","CHECK"),"MISSING")</f>
        <v>OK</v>
      </c>
      <c r="S67" s="1" t="str">
        <f t="shared" ref="S67:S81" si="4">IF(AND(L67="OK",M67="OK",N67="OK",O67="OK",P67="OK",Q67="OK",R67="OK"),"OK","REVIEW")</f>
        <v>OK</v>
      </c>
    </row>
    <row r="68" spans="1:19" x14ac:dyDescent="0.3">
      <c r="A68" s="1" t="s">
        <v>125</v>
      </c>
      <c r="B68" s="1" t="s">
        <v>44</v>
      </c>
      <c r="C68" s="1" t="s">
        <v>23</v>
      </c>
      <c r="D68" s="1" t="s">
        <v>20</v>
      </c>
      <c r="E68" s="1" t="s">
        <v>21</v>
      </c>
      <c r="F68" s="1" t="s">
        <v>10</v>
      </c>
      <c r="G68" s="1">
        <v>165</v>
      </c>
      <c r="H68" s="1" t="s">
        <v>58</v>
      </c>
      <c r="I68" s="3">
        <v>46197</v>
      </c>
      <c r="J68" s="3">
        <v>46198</v>
      </c>
      <c r="L68" s="2" t="str">
        <f t="shared" ref="L68:L80" si="5">IF(A68="OP"&amp;TEXT(ROW()-1,"000"),"OK","CHECK")</f>
        <v>OK</v>
      </c>
      <c r="M68" s="2" t="str">
        <f t="shared" si="3"/>
        <v>OK</v>
      </c>
      <c r="N68" s="2" t="str">
        <f>IFERROR(IF(VLOOKUP(B68,'Reference Data'!$A$2:$F$26,1,FALSE)=B68,"OK","CHECK"),"MISSING")</f>
        <v>OK</v>
      </c>
      <c r="O68" s="1" t="str">
        <f>IFERROR(IF(C68=VLOOKUP(B68,'Reference Data'!$A$2:$F$26,2,FALSE),"OK","CHECK"),"MISSING")</f>
        <v>OK</v>
      </c>
      <c r="P68" s="2" t="str">
        <f>IFERROR(IF(D68=VLOOKUP(B68,'Reference Data'!$A$2:$F$26,3,FALSE),"OK","CHECK"),"MISSING")</f>
        <v>OK</v>
      </c>
      <c r="Q68" s="2" t="str">
        <f>IFERROR(IF(E68=VLOOKUP(B68,'Reference Data'!$A$2:$F$26,4,FALSE),"OK","CHECK"),"MISSING")</f>
        <v>OK</v>
      </c>
      <c r="R68" s="2" t="str">
        <f>IFERROR(IF(F68=VLOOKUP(B68,'Reference Data'!$A$2:$F$26,5,FALSE),"OK","CHECK"),"MISSING")</f>
        <v>OK</v>
      </c>
      <c r="S68" s="1" t="str">
        <f t="shared" si="4"/>
        <v>OK</v>
      </c>
    </row>
    <row r="69" spans="1:19" x14ac:dyDescent="0.3">
      <c r="A69" s="1" t="s">
        <v>126</v>
      </c>
      <c r="B69" s="1" t="s">
        <v>45</v>
      </c>
      <c r="C69" s="1" t="s">
        <v>28</v>
      </c>
      <c r="D69" s="1" t="s">
        <v>8</v>
      </c>
      <c r="E69" s="1" t="s">
        <v>9</v>
      </c>
      <c r="F69" s="1" t="s">
        <v>26</v>
      </c>
      <c r="G69" s="1">
        <v>135</v>
      </c>
      <c r="H69" s="1" t="s">
        <v>58</v>
      </c>
      <c r="I69" s="3">
        <v>46200</v>
      </c>
      <c r="J69" s="3">
        <v>46201</v>
      </c>
      <c r="L69" s="2" t="str">
        <f t="shared" si="5"/>
        <v>OK</v>
      </c>
      <c r="M69" s="2" t="str">
        <f t="shared" si="3"/>
        <v>OK</v>
      </c>
      <c r="N69" s="2" t="str">
        <f>IFERROR(IF(VLOOKUP(B69,'Reference Data'!$A$2:$F$26,1,FALSE)=B69,"OK","CHECK"),"MISSING")</f>
        <v>OK</v>
      </c>
      <c r="O69" s="1" t="str">
        <f>IFERROR(IF(C69=VLOOKUP(B69,'Reference Data'!$A$2:$F$26,2,FALSE),"OK","CHECK"),"MISSING")</f>
        <v>OK</v>
      </c>
      <c r="P69" s="2" t="str">
        <f>IFERROR(IF(D69=VLOOKUP(B69,'Reference Data'!$A$2:$F$26,3,FALSE),"OK","CHECK"),"MISSING")</f>
        <v>OK</v>
      </c>
      <c r="Q69" s="2" t="str">
        <f>IFERROR(IF(E69=VLOOKUP(B69,'Reference Data'!$A$2:$F$26,4,FALSE),"OK","CHECK"),"MISSING")</f>
        <v>OK</v>
      </c>
      <c r="R69" s="2" t="str">
        <f>IFERROR(IF(F69=VLOOKUP(B69,'Reference Data'!$A$2:$F$26,5,FALSE),"OK","CHECK"),"MISSING")</f>
        <v>OK</v>
      </c>
      <c r="S69" s="1" t="str">
        <f t="shared" si="4"/>
        <v>OK</v>
      </c>
    </row>
    <row r="70" spans="1:19" x14ac:dyDescent="0.3">
      <c r="A70" s="1" t="s">
        <v>127</v>
      </c>
      <c r="B70" s="1" t="s">
        <v>46</v>
      </c>
      <c r="C70" s="1" t="s">
        <v>34</v>
      </c>
      <c r="D70" s="1" t="s">
        <v>13</v>
      </c>
      <c r="E70" s="1" t="s">
        <v>14</v>
      </c>
      <c r="F70" s="1" t="s">
        <v>18</v>
      </c>
      <c r="G70" s="1">
        <v>95</v>
      </c>
      <c r="H70" s="1" t="s">
        <v>58</v>
      </c>
      <c r="I70" s="3">
        <v>46203</v>
      </c>
      <c r="J70" s="3">
        <v>46205</v>
      </c>
      <c r="L70" s="2" t="str">
        <f t="shared" si="5"/>
        <v>OK</v>
      </c>
      <c r="M70" s="2" t="str">
        <f t="shared" si="3"/>
        <v>OK</v>
      </c>
      <c r="N70" s="2" t="str">
        <f>IFERROR(IF(VLOOKUP(B70,'Reference Data'!$A$2:$F$26,1,FALSE)=B70,"OK","CHECK"),"MISSING")</f>
        <v>OK</v>
      </c>
      <c r="O70" s="1" t="str">
        <f>IFERROR(IF(C70=VLOOKUP(B70,'Reference Data'!$A$2:$F$26,2,FALSE),"OK","CHECK"),"MISSING")</f>
        <v>OK</v>
      </c>
      <c r="P70" s="2" t="str">
        <f>IFERROR(IF(D70=VLOOKUP(B70,'Reference Data'!$A$2:$F$26,3,FALSE),"OK","CHECK"),"MISSING")</f>
        <v>OK</v>
      </c>
      <c r="Q70" s="2" t="str">
        <f>IFERROR(IF(E70=VLOOKUP(B70,'Reference Data'!$A$2:$F$26,4,FALSE),"OK","CHECK"),"MISSING")</f>
        <v>OK</v>
      </c>
      <c r="R70" s="2" t="str">
        <f>IFERROR(IF(F70=VLOOKUP(B70,'Reference Data'!$A$2:$F$26,5,FALSE),"OK","CHECK"),"MISSING")</f>
        <v>OK</v>
      </c>
      <c r="S70" s="1" t="str">
        <f t="shared" si="4"/>
        <v>OK</v>
      </c>
    </row>
    <row r="71" spans="1:19" x14ac:dyDescent="0.3">
      <c r="A71" s="1" t="s">
        <v>128</v>
      </c>
      <c r="B71" s="1" t="s">
        <v>47</v>
      </c>
      <c r="C71" s="1" t="s">
        <v>37</v>
      </c>
      <c r="D71" s="1" t="s">
        <v>20</v>
      </c>
      <c r="E71" s="1" t="s">
        <v>21</v>
      </c>
      <c r="F71" s="1" t="s">
        <v>15</v>
      </c>
      <c r="G71" s="1">
        <v>145</v>
      </c>
      <c r="H71" s="1" t="s">
        <v>58</v>
      </c>
      <c r="I71" s="3">
        <v>46205</v>
      </c>
      <c r="J71" s="3">
        <v>46206</v>
      </c>
      <c r="L71" s="2" t="str">
        <f t="shared" si="5"/>
        <v>OK</v>
      </c>
      <c r="M71" s="2" t="str">
        <f t="shared" si="3"/>
        <v>OK</v>
      </c>
      <c r="N71" s="2" t="str">
        <f>IFERROR(IF(VLOOKUP(B71,'Reference Data'!$A$2:$F$26,1,FALSE)=B71,"OK","CHECK"),"MISSING")</f>
        <v>OK</v>
      </c>
      <c r="O71" s="1" t="str">
        <f>IFERROR(IF(C71=VLOOKUP(B71,'Reference Data'!$A$2:$F$26,2,FALSE),"OK","CHECK"),"MISSING")</f>
        <v>OK</v>
      </c>
      <c r="P71" s="2" t="str">
        <f>IFERROR(IF(D71=VLOOKUP(B71,'Reference Data'!$A$2:$F$26,3,FALSE),"OK","CHECK"),"MISSING")</f>
        <v>OK</v>
      </c>
      <c r="Q71" s="2" t="str">
        <f>IFERROR(IF(E71=VLOOKUP(B71,'Reference Data'!$A$2:$F$26,4,FALSE),"OK","CHECK"),"MISSING")</f>
        <v>OK</v>
      </c>
      <c r="R71" s="2" t="str">
        <f>IFERROR(IF(F71=VLOOKUP(B71,'Reference Data'!$A$2:$F$26,5,FALSE),"OK","CHECK"),"MISSING")</f>
        <v>OK</v>
      </c>
      <c r="S71" s="1" t="str">
        <f t="shared" si="4"/>
        <v>OK</v>
      </c>
    </row>
    <row r="72" spans="1:19" x14ac:dyDescent="0.3">
      <c r="A72" s="1" t="s">
        <v>129</v>
      </c>
      <c r="B72" s="1" t="s">
        <v>48</v>
      </c>
      <c r="C72" s="1" t="s">
        <v>40</v>
      </c>
      <c r="D72" s="1" t="s">
        <v>13</v>
      </c>
      <c r="E72" s="1" t="s">
        <v>14</v>
      </c>
      <c r="F72" s="1" t="s">
        <v>26</v>
      </c>
      <c r="G72" s="1">
        <v>120</v>
      </c>
      <c r="H72" s="1" t="s">
        <v>87</v>
      </c>
      <c r="I72" s="3">
        <v>46208</v>
      </c>
      <c r="J72" s="3"/>
      <c r="L72" s="2" t="str">
        <f t="shared" si="5"/>
        <v>OK</v>
      </c>
      <c r="M72" s="2" t="str">
        <f t="shared" si="3"/>
        <v>OK</v>
      </c>
      <c r="N72" s="2" t="str">
        <f>IFERROR(IF(VLOOKUP(B72,'Reference Data'!$A$2:$F$26,1,FALSE)=B72,"OK","CHECK"),"MISSING")</f>
        <v>OK</v>
      </c>
      <c r="O72" s="1" t="str">
        <f>IFERROR(IF(C72=VLOOKUP(B72,'Reference Data'!$A$2:$F$26,2,FALSE),"OK","CHECK"),"MISSING")</f>
        <v>OK</v>
      </c>
      <c r="P72" s="2" t="str">
        <f>IFERROR(IF(D72=VLOOKUP(B72,'Reference Data'!$A$2:$F$26,3,FALSE),"OK","CHECK"),"MISSING")</f>
        <v>OK</v>
      </c>
      <c r="Q72" s="2" t="str">
        <f>IFERROR(IF(E72=VLOOKUP(B72,'Reference Data'!$A$2:$F$26,4,FALSE),"OK","CHECK"),"MISSING")</f>
        <v>OK</v>
      </c>
      <c r="R72" s="2" t="str">
        <f>IFERROR(IF(F72=VLOOKUP(B72,'Reference Data'!$A$2:$F$26,5,FALSE),"OK","CHECK"),"MISSING")</f>
        <v>OK</v>
      </c>
      <c r="S72" s="1" t="str">
        <f t="shared" si="4"/>
        <v>OK</v>
      </c>
    </row>
    <row r="73" spans="1:19" x14ac:dyDescent="0.3">
      <c r="A73" s="1" t="s">
        <v>130</v>
      </c>
      <c r="B73" s="1" t="s">
        <v>49</v>
      </c>
      <c r="C73" s="1" t="s">
        <v>7</v>
      </c>
      <c r="D73" s="1" t="s">
        <v>20</v>
      </c>
      <c r="E73" s="1" t="s">
        <v>21</v>
      </c>
      <c r="F73" s="1" t="s">
        <v>26</v>
      </c>
      <c r="G73" s="1">
        <v>155</v>
      </c>
      <c r="H73" s="1" t="s">
        <v>58</v>
      </c>
      <c r="I73" s="3">
        <v>46210</v>
      </c>
      <c r="J73" s="3">
        <v>46212</v>
      </c>
      <c r="L73" s="2" t="str">
        <f t="shared" si="5"/>
        <v>OK</v>
      </c>
      <c r="M73" s="2" t="str">
        <f t="shared" si="3"/>
        <v>OK</v>
      </c>
      <c r="N73" s="2" t="str">
        <f>IFERROR(IF(VLOOKUP(B73,'Reference Data'!$A$2:$F$26,1,FALSE)=B73,"OK","CHECK"),"MISSING")</f>
        <v>OK</v>
      </c>
      <c r="O73" s="1" t="str">
        <f>IFERROR(IF(C73=VLOOKUP(B73,'Reference Data'!$A$2:$F$26,2,FALSE),"OK","CHECK"),"MISSING")</f>
        <v>OK</v>
      </c>
      <c r="P73" s="2" t="str">
        <f>IFERROR(IF(D73=VLOOKUP(B73,'Reference Data'!$A$2:$F$26,3,FALSE),"OK","CHECK"),"MISSING")</f>
        <v>OK</v>
      </c>
      <c r="Q73" s="2" t="str">
        <f>IFERROR(IF(E73=VLOOKUP(B73,'Reference Data'!$A$2:$F$26,4,FALSE),"OK","CHECK"),"MISSING")</f>
        <v>OK</v>
      </c>
      <c r="R73" s="2" t="str">
        <f>IFERROR(IF(F73=VLOOKUP(B73,'Reference Data'!$A$2:$F$26,5,FALSE),"OK","CHECK"),"MISSING")</f>
        <v>OK</v>
      </c>
      <c r="S73" s="1" t="str">
        <f t="shared" si="4"/>
        <v>OK</v>
      </c>
    </row>
    <row r="74" spans="1:19" x14ac:dyDescent="0.3">
      <c r="A74" s="1" t="s">
        <v>131</v>
      </c>
      <c r="B74" s="1" t="s">
        <v>50</v>
      </c>
      <c r="C74" s="1" t="s">
        <v>17</v>
      </c>
      <c r="D74" s="1" t="s">
        <v>32</v>
      </c>
      <c r="E74" s="1" t="s">
        <v>29</v>
      </c>
      <c r="F74" s="1" t="s">
        <v>30</v>
      </c>
      <c r="G74" s="1">
        <v>11</v>
      </c>
      <c r="H74" s="1" t="s">
        <v>140</v>
      </c>
      <c r="I74" s="3">
        <v>46213</v>
      </c>
      <c r="J74" s="3"/>
      <c r="L74" s="2" t="str">
        <f t="shared" si="5"/>
        <v>OK</v>
      </c>
      <c r="M74" s="2" t="str">
        <f t="shared" si="3"/>
        <v>OK</v>
      </c>
      <c r="N74" s="2" t="str">
        <f>IFERROR(IF(VLOOKUP(B74,'Reference Data'!$A$2:$F$26,1,FALSE)=B74,"OK","CHECK"),"MISSING")</f>
        <v>OK</v>
      </c>
      <c r="O74" s="1" t="str">
        <f>IFERROR(IF(C74=VLOOKUP(B74,'Reference Data'!$A$2:$F$26,2,FALSE),"OK","CHECK"),"MISSING")</f>
        <v>OK</v>
      </c>
      <c r="P74" s="2" t="str">
        <f>IFERROR(IF(D74=VLOOKUP(B74,'Reference Data'!$A$2:$F$26,3,FALSE),"OK","CHECK"),"MISSING")</f>
        <v>OK</v>
      </c>
      <c r="Q74" s="2" t="str">
        <f>IFERROR(IF(E74=VLOOKUP(B74,'Reference Data'!$A$2:$F$26,4,FALSE),"OK","CHECK"),"MISSING")</f>
        <v>OK</v>
      </c>
      <c r="R74" s="2" t="str">
        <f>IFERROR(IF(F74=VLOOKUP(B74,'Reference Data'!$A$2:$F$26,5,FALSE),"OK","CHECK"),"MISSING")</f>
        <v>OK</v>
      </c>
      <c r="S74" s="1" t="str">
        <f t="shared" si="4"/>
        <v>OK</v>
      </c>
    </row>
    <row r="75" spans="1:19" x14ac:dyDescent="0.3">
      <c r="A75" s="1" t="s">
        <v>132</v>
      </c>
      <c r="B75" s="1" t="s">
        <v>51</v>
      </c>
      <c r="C75" s="1" t="s">
        <v>23</v>
      </c>
      <c r="D75" s="1" t="s">
        <v>8</v>
      </c>
      <c r="E75" s="1" t="s">
        <v>9</v>
      </c>
      <c r="F75" s="1" t="s">
        <v>10</v>
      </c>
      <c r="G75" s="1">
        <v>205</v>
      </c>
      <c r="H75" s="1" t="s">
        <v>58</v>
      </c>
      <c r="I75" s="3">
        <v>46216</v>
      </c>
      <c r="J75" s="3">
        <v>46217</v>
      </c>
      <c r="L75" s="2" t="str">
        <f t="shared" si="5"/>
        <v>OK</v>
      </c>
      <c r="M75" s="2" t="str">
        <f t="shared" si="3"/>
        <v>OK</v>
      </c>
      <c r="N75" s="2" t="str">
        <f>IFERROR(IF(VLOOKUP(B75,'Reference Data'!$A$2:$F$26,1,FALSE)=B75,"OK","CHECK"),"MISSING")</f>
        <v>OK</v>
      </c>
      <c r="O75" s="1" t="str">
        <f>IFERROR(IF(C75=VLOOKUP(B75,'Reference Data'!$A$2:$F$26,2,FALSE),"OK","CHECK"),"MISSING")</f>
        <v>OK</v>
      </c>
      <c r="P75" s="2" t="str">
        <f>IFERROR(IF(D75=VLOOKUP(B75,'Reference Data'!$A$2:$F$26,3,FALSE),"OK","CHECK"),"MISSING")</f>
        <v>OK</v>
      </c>
      <c r="Q75" s="2" t="str">
        <f>IFERROR(IF(E75=VLOOKUP(B75,'Reference Data'!$A$2:$F$26,4,FALSE),"OK","CHECK"),"MISSING")</f>
        <v>OK</v>
      </c>
      <c r="R75" s="2" t="str">
        <f>IFERROR(IF(F75=VLOOKUP(B75,'Reference Data'!$A$2:$F$26,5,FALSE),"OK","CHECK"),"MISSING")</f>
        <v>OK</v>
      </c>
      <c r="S75" s="1" t="str">
        <f t="shared" si="4"/>
        <v>OK</v>
      </c>
    </row>
    <row r="76" spans="1:19" x14ac:dyDescent="0.3">
      <c r="A76" s="1" t="s">
        <v>133</v>
      </c>
      <c r="B76" s="1" t="s">
        <v>52</v>
      </c>
      <c r="C76" s="1" t="s">
        <v>28</v>
      </c>
      <c r="D76" s="1" t="s">
        <v>13</v>
      </c>
      <c r="E76" s="1" t="s">
        <v>14</v>
      </c>
      <c r="F76" s="1" t="s">
        <v>15</v>
      </c>
      <c r="G76" s="1">
        <v>102</v>
      </c>
      <c r="H76" s="1" t="s">
        <v>58</v>
      </c>
      <c r="I76" s="3">
        <v>46218</v>
      </c>
      <c r="J76" s="3">
        <v>46220</v>
      </c>
      <c r="L76" s="2" t="str">
        <f t="shared" si="5"/>
        <v>OK</v>
      </c>
      <c r="M76" s="2" t="str">
        <f t="shared" si="3"/>
        <v>OK</v>
      </c>
      <c r="N76" s="2" t="str">
        <f>IFERROR(IF(VLOOKUP(B76,'Reference Data'!$A$2:$F$26,1,FALSE)=B76,"OK","CHECK"),"MISSING")</f>
        <v>OK</v>
      </c>
      <c r="O76" s="1" t="str">
        <f>IFERROR(IF(C76=VLOOKUP(B76,'Reference Data'!$A$2:$F$26,2,FALSE),"OK","CHECK"),"MISSING")</f>
        <v>OK</v>
      </c>
      <c r="P76" s="2" t="str">
        <f>IFERROR(IF(D76=VLOOKUP(B76,'Reference Data'!$A$2:$F$26,3,FALSE),"OK","CHECK"),"MISSING")</f>
        <v>OK</v>
      </c>
      <c r="Q76" s="2" t="str">
        <f>IFERROR(IF(E76=VLOOKUP(B76,'Reference Data'!$A$2:$F$26,4,FALSE),"OK","CHECK"),"MISSING")</f>
        <v>OK</v>
      </c>
      <c r="R76" s="2" t="str">
        <f>IFERROR(IF(F76=VLOOKUP(B76,'Reference Data'!$A$2:$F$26,5,FALSE),"OK","CHECK"),"MISSING")</f>
        <v>OK</v>
      </c>
      <c r="S76" s="1" t="str">
        <f t="shared" si="4"/>
        <v>OK</v>
      </c>
    </row>
    <row r="77" spans="1:19" x14ac:dyDescent="0.3">
      <c r="A77" s="1" t="s">
        <v>134</v>
      </c>
      <c r="B77" s="1" t="s">
        <v>19</v>
      </c>
      <c r="C77" s="1" t="s">
        <v>17</v>
      </c>
      <c r="D77" s="1" t="s">
        <v>20</v>
      </c>
      <c r="E77" s="1" t="s">
        <v>21</v>
      </c>
      <c r="F77" s="1" t="s">
        <v>10</v>
      </c>
      <c r="G77" s="1">
        <v>180</v>
      </c>
      <c r="H77" s="1" t="s">
        <v>58</v>
      </c>
      <c r="I77" s="3">
        <v>46221</v>
      </c>
      <c r="J77" s="3">
        <v>46222</v>
      </c>
      <c r="L77" s="2" t="str">
        <f t="shared" si="5"/>
        <v>OK</v>
      </c>
      <c r="M77" s="2" t="str">
        <f t="shared" si="3"/>
        <v>OK</v>
      </c>
      <c r="N77" s="2" t="str">
        <f>IFERROR(IF(VLOOKUP(B77,'Reference Data'!$A$2:$F$26,1,FALSE)=B77,"OK","CHECK"),"MISSING")</f>
        <v>OK</v>
      </c>
      <c r="O77" s="1" t="str">
        <f>IFERROR(IF(C77=VLOOKUP(B77,'Reference Data'!$A$2:$F$26,2,FALSE),"OK","CHECK"),"MISSING")</f>
        <v>OK</v>
      </c>
      <c r="P77" s="2" t="str">
        <f>IFERROR(IF(D77=VLOOKUP(B77,'Reference Data'!$A$2:$F$26,3,FALSE),"OK","CHECK"),"MISSING")</f>
        <v>OK</v>
      </c>
      <c r="Q77" s="2" t="str">
        <f>IFERROR(IF(E77=VLOOKUP(B77,'Reference Data'!$A$2:$F$26,4,FALSE),"OK","CHECK"),"MISSING")</f>
        <v>OK</v>
      </c>
      <c r="R77" s="2" t="str">
        <f>IFERROR(IF(F77=VLOOKUP(B77,'Reference Data'!$A$2:$F$26,5,FALSE),"OK","CHECK"),"MISSING")</f>
        <v>OK</v>
      </c>
      <c r="S77" s="1" t="str">
        <f t="shared" si="4"/>
        <v>OK</v>
      </c>
    </row>
    <row r="78" spans="1:19" x14ac:dyDescent="0.3">
      <c r="A78" s="1" t="s">
        <v>135</v>
      </c>
      <c r="B78" s="1" t="s">
        <v>35</v>
      </c>
      <c r="C78" s="1" t="s">
        <v>34</v>
      </c>
      <c r="D78" s="1" t="s">
        <v>8</v>
      </c>
      <c r="E78" s="1" t="s">
        <v>24</v>
      </c>
      <c r="F78" s="1" t="s">
        <v>18</v>
      </c>
      <c r="G78" s="1">
        <v>125</v>
      </c>
      <c r="H78" s="1" t="s">
        <v>58</v>
      </c>
      <c r="I78" s="3">
        <v>46223</v>
      </c>
      <c r="J78" s="3">
        <v>46224</v>
      </c>
      <c r="L78" s="2" t="str">
        <f t="shared" si="5"/>
        <v>OK</v>
      </c>
      <c r="M78" s="2" t="str">
        <f t="shared" si="3"/>
        <v>OK</v>
      </c>
      <c r="N78" s="2" t="str">
        <f>IFERROR(IF(VLOOKUP(B78,'Reference Data'!$A$2:$F$26,1,FALSE)=B78,"OK","CHECK"),"MISSING")</f>
        <v>OK</v>
      </c>
      <c r="O78" s="1" t="str">
        <f>IFERROR(IF(C78=VLOOKUP(B78,'Reference Data'!$A$2:$F$26,2,FALSE),"OK","CHECK"),"MISSING")</f>
        <v>OK</v>
      </c>
      <c r="P78" s="2" t="str">
        <f>IFERROR(IF(D78=VLOOKUP(B78,'Reference Data'!$A$2:$F$26,3,FALSE),"OK","CHECK"),"MISSING")</f>
        <v>OK</v>
      </c>
      <c r="Q78" s="2" t="str">
        <f>IFERROR(IF(E78=VLOOKUP(B78,'Reference Data'!$A$2:$F$26,4,FALSE),"OK","CHECK"),"MISSING")</f>
        <v>OK</v>
      </c>
      <c r="R78" s="2" t="str">
        <f>IFERROR(IF(F78=VLOOKUP(B78,'Reference Data'!$A$2:$F$26,5,FALSE),"OK","CHECK"),"MISSING")</f>
        <v>OK</v>
      </c>
      <c r="S78" s="1" t="str">
        <f t="shared" si="4"/>
        <v>OK</v>
      </c>
    </row>
    <row r="79" spans="1:19" x14ac:dyDescent="0.3">
      <c r="A79" s="1" t="s">
        <v>136</v>
      </c>
      <c r="B79" s="1" t="s">
        <v>43</v>
      </c>
      <c r="C79" s="1" t="s">
        <v>17</v>
      </c>
      <c r="D79" s="1" t="s">
        <v>13</v>
      </c>
      <c r="E79" s="1" t="s">
        <v>14</v>
      </c>
      <c r="F79" s="1" t="s">
        <v>15</v>
      </c>
      <c r="G79" s="1">
        <v>118</v>
      </c>
      <c r="H79" s="1" t="s">
        <v>140</v>
      </c>
      <c r="I79" s="3">
        <v>46226</v>
      </c>
      <c r="J79" s="3"/>
      <c r="L79" s="2" t="str">
        <f t="shared" si="5"/>
        <v>OK</v>
      </c>
      <c r="M79" s="2" t="str">
        <f t="shared" si="3"/>
        <v>OK</v>
      </c>
      <c r="N79" s="2" t="str">
        <f>IFERROR(IF(VLOOKUP(B79,'Reference Data'!$A$2:$F$26,1,FALSE)=B79,"OK","CHECK"),"MISSING")</f>
        <v>OK</v>
      </c>
      <c r="O79" s="1" t="str">
        <f>IFERROR(IF(C79=VLOOKUP(B79,'Reference Data'!$A$2:$F$26,2,FALSE),"OK","CHECK"),"MISSING")</f>
        <v>OK</v>
      </c>
      <c r="P79" s="2" t="str">
        <f>IFERROR(IF(D79=VLOOKUP(B79,'Reference Data'!$A$2:$F$26,3,FALSE),"OK","CHECK"),"MISSING")</f>
        <v>OK</v>
      </c>
      <c r="Q79" s="2" t="str">
        <f>IFERROR(IF(E79=VLOOKUP(B79,'Reference Data'!$A$2:$F$26,4,FALSE),"OK","CHECK"),"MISSING")</f>
        <v>OK</v>
      </c>
      <c r="R79" s="2" t="str">
        <f>IFERROR(IF(F79=VLOOKUP(B79,'Reference Data'!$A$2:$F$26,5,FALSE),"OK","CHECK"),"MISSING")</f>
        <v>OK</v>
      </c>
      <c r="S79" s="1" t="str">
        <f t="shared" si="4"/>
        <v>OK</v>
      </c>
    </row>
    <row r="80" spans="1:19" x14ac:dyDescent="0.3">
      <c r="A80" s="1" t="s">
        <v>137</v>
      </c>
      <c r="B80" s="1" t="s">
        <v>49</v>
      </c>
      <c r="C80" s="1" t="s">
        <v>7</v>
      </c>
      <c r="D80" s="1" t="s">
        <v>20</v>
      </c>
      <c r="E80" s="1" t="s">
        <v>21</v>
      </c>
      <c r="F80" s="1" t="s">
        <v>26</v>
      </c>
      <c r="G80" s="1">
        <v>160</v>
      </c>
      <c r="H80" s="1" t="s">
        <v>58</v>
      </c>
      <c r="I80" s="3">
        <v>46228</v>
      </c>
      <c r="J80" s="3">
        <v>46229</v>
      </c>
      <c r="L80" s="2" t="str">
        <f t="shared" si="5"/>
        <v>OK</v>
      </c>
      <c r="M80" s="2" t="str">
        <f t="shared" si="3"/>
        <v>OK</v>
      </c>
      <c r="N80" s="2" t="str">
        <f>IFERROR(IF(VLOOKUP(B80,'Reference Data'!$A$2:$F$26,1,FALSE)=B80,"OK","CHECK"),"MISSING")</f>
        <v>OK</v>
      </c>
      <c r="O80" s="1" t="str">
        <f>IFERROR(IF(C80=VLOOKUP(B80,'Reference Data'!$A$2:$F$26,2,FALSE),"OK","CHECK"),"MISSING")</f>
        <v>OK</v>
      </c>
      <c r="P80" s="2" t="str">
        <f>IFERROR(IF(D80=VLOOKUP(B80,'Reference Data'!$A$2:$F$26,3,FALSE),"OK","CHECK"),"MISSING")</f>
        <v>OK</v>
      </c>
      <c r="Q80" s="2" t="str">
        <f>IFERROR(IF(E80=VLOOKUP(B80,'Reference Data'!$A$2:$F$26,4,FALSE),"OK","CHECK"),"MISSING")</f>
        <v>OK</v>
      </c>
      <c r="R80" s="2" t="str">
        <f>IFERROR(IF(F80=VLOOKUP(B80,'Reference Data'!$A$2:$F$26,5,FALSE),"OK","CHECK"),"MISSING")</f>
        <v>OK</v>
      </c>
      <c r="S80" s="1" t="str">
        <f t="shared" si="4"/>
        <v>OK</v>
      </c>
    </row>
    <row r="81" spans="1:19" x14ac:dyDescent="0.3">
      <c r="A81" s="1" t="s">
        <v>138</v>
      </c>
      <c r="B81" s="1" t="s">
        <v>27</v>
      </c>
      <c r="C81" s="1" t="s">
        <v>28</v>
      </c>
      <c r="D81" s="1" t="s">
        <v>8</v>
      </c>
      <c r="E81" s="1" t="s">
        <v>29</v>
      </c>
      <c r="F81" s="1" t="s">
        <v>30</v>
      </c>
      <c r="G81" s="1">
        <v>16</v>
      </c>
      <c r="H81" s="1" t="s">
        <v>58</v>
      </c>
      <c r="I81" s="3">
        <v>46231</v>
      </c>
      <c r="J81" s="3">
        <v>46232</v>
      </c>
      <c r="L81" s="2" t="str">
        <f>IF(A81="OP"&amp;TEXT(ROW()-1,"000"),"OK","CHECK")</f>
        <v>OK</v>
      </c>
      <c r="M81" s="2" t="str">
        <f t="shared" si="3"/>
        <v>OK</v>
      </c>
      <c r="N81" s="2" t="str">
        <f>IFERROR(IF(VLOOKUP(B81,'Reference Data'!$A$2:$F$26,1,FALSE)=B81,"OK","CHECK"),"MISSING")</f>
        <v>OK</v>
      </c>
      <c r="O81" s="1" t="str">
        <f>IFERROR(IF(C81=VLOOKUP(B81,'Reference Data'!$A$2:$F$26,2,FALSE),"OK","CHECK"),"MISSING")</f>
        <v>OK</v>
      </c>
      <c r="P81" s="2" t="str">
        <f>IFERROR(IF(D81=VLOOKUP(B81,'Reference Data'!$A$2:$F$26,3,FALSE),"OK","CHECK"),"MISSING")</f>
        <v>OK</v>
      </c>
      <c r="Q81" s="2" t="str">
        <f>IFERROR(IF(E81=VLOOKUP(B81,'Reference Data'!$A$2:$F$26,4,FALSE),"OK","CHECK"),"MISSING")</f>
        <v>OK</v>
      </c>
      <c r="R81" s="2" t="str">
        <f>IFERROR(IF(F81=VLOOKUP(B81,'Reference Data'!$A$2:$F$26,5,FALSE),"OK","CHECK"),"MISSING")</f>
        <v>OK</v>
      </c>
      <c r="S81" s="1" t="str">
        <f t="shared" si="4"/>
        <v>OK</v>
      </c>
    </row>
    <row r="86" spans="1:19" x14ac:dyDescent="0.3">
      <c r="A86">
        <f>COUNTA(A2:A81)</f>
        <v>80</v>
      </c>
      <c r="B86" t="str">
        <f>IF(A2="OP001","Correct","Check")</f>
        <v>Correct</v>
      </c>
      <c r="H86">
        <f>COUNTIF(H2:H81,"Completed")</f>
        <v>65</v>
      </c>
      <c r="K86">
        <f>COUNTIF(C2:C81,"Mumbai")</f>
        <v>14</v>
      </c>
    </row>
    <row r="87" spans="1:19" x14ac:dyDescent="0.3">
      <c r="A87">
        <f>SUMPRODUCT(1/COUNTIF(A2:A81,A2:A81))</f>
        <v>80</v>
      </c>
      <c r="B87" t="str">
        <f>IF(A2="OP"&amp;TEXT(ROW()-1,"000"),"OK","CHECK")</f>
        <v>CHECK</v>
      </c>
      <c r="H87">
        <f>COUNTIF(H2:H81,"Pending")</f>
        <v>7</v>
      </c>
    </row>
    <row r="88" spans="1:19" x14ac:dyDescent="0.3">
      <c r="H88">
        <f>COUNTIF(H2:H81,"In Progress")</f>
        <v>8</v>
      </c>
      <c r="M88" s="2">
        <f>COUNTIF(M2:M81,"CHECK")</f>
        <v>0</v>
      </c>
      <c r="N88" s="2">
        <f>COUNTIF(N2:N81,"MISSING")</f>
        <v>0</v>
      </c>
      <c r="O88" s="1">
        <f>COUNTIF(O2:O81,"CHECK")</f>
        <v>0</v>
      </c>
      <c r="P88" s="2">
        <f>COUNTIF(P2:P81,"CHECK")</f>
        <v>0</v>
      </c>
      <c r="Q88" s="2">
        <f>COUNTIF(Q2:Q81,"CHECK")</f>
        <v>0</v>
      </c>
      <c r="R88" s="2">
        <f>COUNTIF(R2:R81,"CHECK")</f>
        <v>0</v>
      </c>
      <c r="S88" s="1">
        <f>COUNTIF(S2:S81,"REVIEW")</f>
        <v>0</v>
      </c>
    </row>
  </sheetData>
  <autoFilter ref="M1:M88"/>
  <pageMargins left="0.7" right="0.7" top="0.75" bottom="0.75" header="0.3" footer="0.3"/>
  <ignoredErrors>
    <ignoredError sqref="N8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F18" sqref="F18"/>
    </sheetView>
  </sheetViews>
  <sheetFormatPr defaultRowHeight="14.4" x14ac:dyDescent="0.3"/>
  <cols>
    <col min="1" max="1" width="11.5546875" style="2" bestFit="1" customWidth="1"/>
    <col min="2" max="2" width="9.77734375" style="2" bestFit="1" customWidth="1"/>
    <col min="3" max="3" width="11.6640625" style="2" bestFit="1" customWidth="1"/>
    <col min="4" max="4" width="18.77734375" style="2" bestFit="1" customWidth="1"/>
    <col min="5" max="5" width="17.33203125" style="1" bestFit="1" customWidth="1"/>
    <col min="6" max="6" width="13.77734375" style="2" bestFit="1" customWidth="1"/>
    <col min="9" max="9" width="21.33203125" bestFit="1" customWidth="1"/>
    <col min="10" max="10" width="17.77734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9</v>
      </c>
      <c r="E2" s="1" t="s">
        <v>10</v>
      </c>
      <c r="F2" s="2" t="s">
        <v>11</v>
      </c>
      <c r="I2" t="s">
        <v>151</v>
      </c>
      <c r="J2" t="s">
        <v>152</v>
      </c>
    </row>
    <row r="3" spans="1:10" x14ac:dyDescent="0.3">
      <c r="A3" s="2" t="s">
        <v>12</v>
      </c>
      <c r="B3" s="2" t="s">
        <v>7</v>
      </c>
      <c r="C3" s="2" t="s">
        <v>13</v>
      </c>
      <c r="D3" s="2" t="s">
        <v>14</v>
      </c>
      <c r="E3" s="1" t="s">
        <v>15</v>
      </c>
      <c r="F3" s="2" t="s">
        <v>11</v>
      </c>
      <c r="I3">
        <f>COUNTA(A2:A26)</f>
        <v>25</v>
      </c>
      <c r="J3">
        <f>SUMPRODUCT(1/COUNTIF(A2:A26,A2:A26))</f>
        <v>25</v>
      </c>
    </row>
    <row r="4" spans="1:10" x14ac:dyDescent="0.3">
      <c r="A4" s="2" t="s">
        <v>16</v>
      </c>
      <c r="B4" s="2" t="s">
        <v>17</v>
      </c>
      <c r="C4" s="2" t="s">
        <v>8</v>
      </c>
      <c r="D4" s="2" t="s">
        <v>9</v>
      </c>
      <c r="E4" s="1" t="s">
        <v>18</v>
      </c>
      <c r="F4" s="2" t="s">
        <v>11</v>
      </c>
    </row>
    <row r="5" spans="1:10" x14ac:dyDescent="0.3">
      <c r="A5" s="2" t="s">
        <v>19</v>
      </c>
      <c r="B5" s="2" t="s">
        <v>17</v>
      </c>
      <c r="C5" s="2" t="s">
        <v>20</v>
      </c>
      <c r="D5" s="2" t="s">
        <v>21</v>
      </c>
      <c r="E5" s="1" t="s">
        <v>10</v>
      </c>
      <c r="F5" s="2" t="s">
        <v>11</v>
      </c>
    </row>
    <row r="6" spans="1:10" x14ac:dyDescent="0.3">
      <c r="A6" s="2" t="s">
        <v>22</v>
      </c>
      <c r="B6" s="2" t="s">
        <v>23</v>
      </c>
      <c r="C6" s="2" t="s">
        <v>8</v>
      </c>
      <c r="D6" s="2" t="s">
        <v>24</v>
      </c>
      <c r="E6" s="1" t="s">
        <v>15</v>
      </c>
      <c r="F6" s="2" t="s">
        <v>11</v>
      </c>
    </row>
    <row r="7" spans="1:10" x14ac:dyDescent="0.3">
      <c r="A7" s="2" t="s">
        <v>25</v>
      </c>
      <c r="B7" s="2" t="s">
        <v>23</v>
      </c>
      <c r="C7" s="2" t="s">
        <v>13</v>
      </c>
      <c r="D7" s="2" t="s">
        <v>14</v>
      </c>
      <c r="E7" s="1" t="s">
        <v>26</v>
      </c>
      <c r="F7" s="2" t="s">
        <v>11</v>
      </c>
    </row>
    <row r="8" spans="1:10" x14ac:dyDescent="0.3">
      <c r="A8" s="2" t="s">
        <v>27</v>
      </c>
      <c r="B8" s="2" t="s">
        <v>28</v>
      </c>
      <c r="C8" s="2" t="s">
        <v>8</v>
      </c>
      <c r="D8" s="2" t="s">
        <v>29</v>
      </c>
      <c r="E8" s="1" t="s">
        <v>30</v>
      </c>
      <c r="F8" s="2" t="s">
        <v>11</v>
      </c>
    </row>
    <row r="9" spans="1:10" x14ac:dyDescent="0.3">
      <c r="A9" s="2" t="s">
        <v>31</v>
      </c>
      <c r="B9" s="2" t="s">
        <v>28</v>
      </c>
      <c r="C9" s="2" t="s">
        <v>32</v>
      </c>
      <c r="D9" s="2" t="s">
        <v>29</v>
      </c>
      <c r="E9" s="1" t="s">
        <v>30</v>
      </c>
      <c r="F9" s="2" t="s">
        <v>11</v>
      </c>
    </row>
    <row r="10" spans="1:10" x14ac:dyDescent="0.3">
      <c r="A10" s="2" t="s">
        <v>33</v>
      </c>
      <c r="B10" s="2" t="s">
        <v>34</v>
      </c>
      <c r="C10" s="2" t="s">
        <v>20</v>
      </c>
      <c r="D10" s="2" t="s">
        <v>21</v>
      </c>
      <c r="E10" s="1" t="s">
        <v>26</v>
      </c>
      <c r="F10" s="2" t="s">
        <v>11</v>
      </c>
    </row>
    <row r="11" spans="1:10" x14ac:dyDescent="0.3">
      <c r="A11" s="2" t="s">
        <v>35</v>
      </c>
      <c r="B11" s="2" t="s">
        <v>34</v>
      </c>
      <c r="C11" s="2" t="s">
        <v>8</v>
      </c>
      <c r="D11" s="2" t="s">
        <v>24</v>
      </c>
      <c r="E11" s="1" t="s">
        <v>18</v>
      </c>
      <c r="F11" s="2" t="s">
        <v>11</v>
      </c>
    </row>
    <row r="12" spans="1:10" x14ac:dyDescent="0.3">
      <c r="A12" s="2" t="s">
        <v>36</v>
      </c>
      <c r="B12" s="2" t="s">
        <v>37</v>
      </c>
      <c r="C12" s="2" t="s">
        <v>13</v>
      </c>
      <c r="D12" s="2" t="s">
        <v>14</v>
      </c>
      <c r="E12" s="1" t="s">
        <v>10</v>
      </c>
      <c r="F12" s="2" t="s">
        <v>11</v>
      </c>
    </row>
    <row r="13" spans="1:10" x14ac:dyDescent="0.3">
      <c r="A13" s="2" t="s">
        <v>38</v>
      </c>
      <c r="B13" s="2" t="s">
        <v>37</v>
      </c>
      <c r="C13" s="2" t="s">
        <v>8</v>
      </c>
      <c r="D13" s="2" t="s">
        <v>9</v>
      </c>
      <c r="E13" s="1" t="s">
        <v>26</v>
      </c>
      <c r="F13" s="2" t="s">
        <v>11</v>
      </c>
    </row>
    <row r="14" spans="1:10" x14ac:dyDescent="0.3">
      <c r="A14" s="2" t="s">
        <v>39</v>
      </c>
      <c r="B14" s="2" t="s">
        <v>40</v>
      </c>
      <c r="C14" s="2" t="s">
        <v>20</v>
      </c>
      <c r="D14" s="2" t="s">
        <v>21</v>
      </c>
      <c r="E14" s="1" t="s">
        <v>18</v>
      </c>
      <c r="F14" s="2" t="s">
        <v>11</v>
      </c>
    </row>
    <row r="15" spans="1:10" x14ac:dyDescent="0.3">
      <c r="A15" s="2" t="s">
        <v>41</v>
      </c>
      <c r="B15" s="2" t="s">
        <v>40</v>
      </c>
      <c r="C15" s="2" t="s">
        <v>8</v>
      </c>
      <c r="D15" s="2" t="s">
        <v>24</v>
      </c>
      <c r="E15" s="1" t="s">
        <v>15</v>
      </c>
      <c r="F15" s="2" t="s">
        <v>11</v>
      </c>
    </row>
    <row r="16" spans="1:10" x14ac:dyDescent="0.3">
      <c r="A16" s="2" t="s">
        <v>42</v>
      </c>
      <c r="B16" s="2" t="s">
        <v>7</v>
      </c>
      <c r="C16" s="2" t="s">
        <v>32</v>
      </c>
      <c r="D16" s="2" t="s">
        <v>29</v>
      </c>
      <c r="E16" s="1" t="s">
        <v>30</v>
      </c>
      <c r="F16" s="2" t="s">
        <v>11</v>
      </c>
    </row>
    <row r="17" spans="1:6" x14ac:dyDescent="0.3">
      <c r="A17" s="2" t="s">
        <v>43</v>
      </c>
      <c r="B17" s="2" t="s">
        <v>17</v>
      </c>
      <c r="C17" s="2" t="s">
        <v>13</v>
      </c>
      <c r="D17" s="2" t="s">
        <v>14</v>
      </c>
      <c r="E17" s="1" t="s">
        <v>15</v>
      </c>
      <c r="F17" s="2" t="s">
        <v>11</v>
      </c>
    </row>
    <row r="18" spans="1:6" x14ac:dyDescent="0.3">
      <c r="A18" s="2" t="s">
        <v>44</v>
      </c>
      <c r="B18" s="2" t="s">
        <v>23</v>
      </c>
      <c r="C18" s="2" t="s">
        <v>20</v>
      </c>
      <c r="D18" s="2" t="s">
        <v>21</v>
      </c>
      <c r="E18" s="1" t="s">
        <v>10</v>
      </c>
      <c r="F18" s="2" t="s">
        <v>11</v>
      </c>
    </row>
    <row r="19" spans="1:6" x14ac:dyDescent="0.3">
      <c r="A19" s="2" t="s">
        <v>45</v>
      </c>
      <c r="B19" s="2" t="s">
        <v>28</v>
      </c>
      <c r="C19" s="2" t="s">
        <v>8</v>
      </c>
      <c r="D19" s="2" t="s">
        <v>9</v>
      </c>
      <c r="E19" s="1" t="s">
        <v>26</v>
      </c>
      <c r="F19" s="2" t="s">
        <v>11</v>
      </c>
    </row>
    <row r="20" spans="1:6" x14ac:dyDescent="0.3">
      <c r="A20" s="2" t="s">
        <v>46</v>
      </c>
      <c r="B20" s="2" t="s">
        <v>34</v>
      </c>
      <c r="C20" s="2" t="s">
        <v>13</v>
      </c>
      <c r="D20" s="2" t="s">
        <v>14</v>
      </c>
      <c r="E20" s="1" t="s">
        <v>18</v>
      </c>
      <c r="F20" s="2" t="s">
        <v>11</v>
      </c>
    </row>
    <row r="21" spans="1:6" x14ac:dyDescent="0.3">
      <c r="A21" s="2" t="s">
        <v>47</v>
      </c>
      <c r="B21" s="2" t="s">
        <v>37</v>
      </c>
      <c r="C21" s="2" t="s">
        <v>20</v>
      </c>
      <c r="D21" s="2" t="s">
        <v>21</v>
      </c>
      <c r="E21" s="1" t="s">
        <v>15</v>
      </c>
      <c r="F21" s="2" t="s">
        <v>11</v>
      </c>
    </row>
    <row r="22" spans="1:6" x14ac:dyDescent="0.3">
      <c r="A22" s="2" t="s">
        <v>48</v>
      </c>
      <c r="B22" s="2" t="s">
        <v>40</v>
      </c>
      <c r="C22" s="2" t="s">
        <v>13</v>
      </c>
      <c r="D22" s="2" t="s">
        <v>14</v>
      </c>
      <c r="E22" s="1" t="s">
        <v>26</v>
      </c>
      <c r="F22" s="2" t="s">
        <v>11</v>
      </c>
    </row>
    <row r="23" spans="1:6" x14ac:dyDescent="0.3">
      <c r="A23" s="2" t="s">
        <v>49</v>
      </c>
      <c r="B23" s="2" t="s">
        <v>7</v>
      </c>
      <c r="C23" s="2" t="s">
        <v>20</v>
      </c>
      <c r="D23" s="2" t="s">
        <v>21</v>
      </c>
      <c r="E23" s="1" t="s">
        <v>26</v>
      </c>
      <c r="F23" s="2" t="s">
        <v>11</v>
      </c>
    </row>
    <row r="24" spans="1:6" x14ac:dyDescent="0.3">
      <c r="A24" s="2" t="s">
        <v>50</v>
      </c>
      <c r="B24" s="2" t="s">
        <v>17</v>
      </c>
      <c r="C24" s="2" t="s">
        <v>32</v>
      </c>
      <c r="D24" s="2" t="s">
        <v>29</v>
      </c>
      <c r="E24" s="1" t="s">
        <v>30</v>
      </c>
      <c r="F24" s="2" t="s">
        <v>11</v>
      </c>
    </row>
    <row r="25" spans="1:6" x14ac:dyDescent="0.3">
      <c r="A25" s="2" t="s">
        <v>51</v>
      </c>
      <c r="B25" s="2" t="s">
        <v>23</v>
      </c>
      <c r="C25" s="2" t="s">
        <v>8</v>
      </c>
      <c r="D25" s="2" t="s">
        <v>9</v>
      </c>
      <c r="E25" s="1" t="s">
        <v>10</v>
      </c>
      <c r="F25" s="2" t="s">
        <v>11</v>
      </c>
    </row>
    <row r="26" spans="1:6" x14ac:dyDescent="0.3">
      <c r="A26" s="2" t="s">
        <v>52</v>
      </c>
      <c r="B26" s="2" t="s">
        <v>28</v>
      </c>
      <c r="C26" s="2" t="s">
        <v>13</v>
      </c>
      <c r="D26" s="2" t="s">
        <v>14</v>
      </c>
      <c r="E26" s="1" t="s">
        <v>15</v>
      </c>
      <c r="F26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C13" sqref="C13"/>
    </sheetView>
  </sheetViews>
  <sheetFormatPr defaultRowHeight="14.4" x14ac:dyDescent="0.3"/>
  <cols>
    <col min="1" max="1" width="17.33203125" bestFit="1" customWidth="1"/>
    <col min="2" max="2" width="19.6640625" bestFit="1" customWidth="1"/>
  </cols>
  <sheetData>
    <row r="3" spans="1:2" x14ac:dyDescent="0.3">
      <c r="A3" s="5" t="s">
        <v>162</v>
      </c>
      <c r="B3" t="s">
        <v>153</v>
      </c>
    </row>
    <row r="4" spans="1:2" x14ac:dyDescent="0.3">
      <c r="A4" s="6" t="s">
        <v>26</v>
      </c>
      <c r="B4" s="4">
        <v>6</v>
      </c>
    </row>
    <row r="5" spans="1:2" x14ac:dyDescent="0.3">
      <c r="A5" s="6" t="s">
        <v>30</v>
      </c>
      <c r="B5" s="4">
        <v>4</v>
      </c>
    </row>
    <row r="6" spans="1:2" x14ac:dyDescent="0.3">
      <c r="A6" s="6" t="s">
        <v>15</v>
      </c>
      <c r="B6" s="4">
        <v>6</v>
      </c>
    </row>
    <row r="7" spans="1:2" x14ac:dyDescent="0.3">
      <c r="A7" s="6" t="s">
        <v>18</v>
      </c>
      <c r="B7" s="4">
        <v>4</v>
      </c>
    </row>
    <row r="8" spans="1:2" x14ac:dyDescent="0.3">
      <c r="A8" s="6" t="s">
        <v>10</v>
      </c>
      <c r="B8" s="4">
        <v>5</v>
      </c>
    </row>
    <row r="9" spans="1:2" x14ac:dyDescent="0.3">
      <c r="A9" s="6" t="s">
        <v>139</v>
      </c>
      <c r="B9" s="4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9"/>
  <sheetViews>
    <sheetView workbookViewId="0">
      <selection activeCell="K9" sqref="K9"/>
    </sheetView>
  </sheetViews>
  <sheetFormatPr defaultRowHeight="14.4" x14ac:dyDescent="0.3"/>
  <cols>
    <col min="1" max="1" width="19.6640625" bestFit="1" customWidth="1"/>
    <col min="2" max="3" width="10.21875" bestFit="1" customWidth="1"/>
    <col min="4" max="4" width="10.21875" customWidth="1"/>
    <col min="5" max="5" width="10.77734375" bestFit="1" customWidth="1"/>
    <col min="8" max="8" width="19.5546875" style="2" bestFit="1" customWidth="1"/>
    <col min="9" max="9" width="8.88671875" style="2"/>
  </cols>
  <sheetData>
    <row r="3" spans="1:9" x14ac:dyDescent="0.3">
      <c r="A3" s="5" t="s">
        <v>147</v>
      </c>
      <c r="B3" s="5" t="s">
        <v>54</v>
      </c>
      <c r="H3" s="9" t="s">
        <v>141</v>
      </c>
    </row>
    <row r="4" spans="1:9" x14ac:dyDescent="0.3">
      <c r="A4" s="5" t="s">
        <v>2</v>
      </c>
      <c r="B4" t="s">
        <v>58</v>
      </c>
      <c r="C4" t="s">
        <v>87</v>
      </c>
      <c r="D4" t="s">
        <v>140</v>
      </c>
      <c r="E4" t="s">
        <v>139</v>
      </c>
      <c r="H4" s="2" t="s">
        <v>142</v>
      </c>
      <c r="I4" s="2">
        <f>COUNTA('Operations Data'!A2:A81)</f>
        <v>80</v>
      </c>
    </row>
    <row r="5" spans="1:9" x14ac:dyDescent="0.3">
      <c r="A5" t="s">
        <v>32</v>
      </c>
      <c r="B5" s="4">
        <v>6</v>
      </c>
      <c r="C5" s="4">
        <v>2</v>
      </c>
      <c r="D5" s="4">
        <v>1</v>
      </c>
      <c r="E5" s="4">
        <v>9</v>
      </c>
      <c r="H5" s="2" t="s">
        <v>143</v>
      </c>
      <c r="I5" s="2">
        <f>COUNTIF('Operations Data'!H2:H81,"Completed")</f>
        <v>65</v>
      </c>
    </row>
    <row r="6" spans="1:9" x14ac:dyDescent="0.3">
      <c r="A6" t="s">
        <v>8</v>
      </c>
      <c r="B6" s="4">
        <v>26</v>
      </c>
      <c r="C6" s="4">
        <v>1</v>
      </c>
      <c r="D6" s="4">
        <v>2</v>
      </c>
      <c r="E6" s="4">
        <v>29</v>
      </c>
      <c r="H6" s="2" t="s">
        <v>148</v>
      </c>
      <c r="I6" s="2">
        <f>COUNTIF('Operations Data'!H2:H81,"Pending")</f>
        <v>7</v>
      </c>
    </row>
    <row r="7" spans="1:9" x14ac:dyDescent="0.3">
      <c r="A7" t="s">
        <v>13</v>
      </c>
      <c r="B7" s="4">
        <v>15</v>
      </c>
      <c r="C7" s="4">
        <v>2</v>
      </c>
      <c r="D7" s="4">
        <v>5</v>
      </c>
      <c r="E7" s="4">
        <v>22</v>
      </c>
      <c r="H7" s="2" t="s">
        <v>144</v>
      </c>
      <c r="I7" s="2">
        <f>COUNTIF('Operations Data'!H2:H81,"In Progress")</f>
        <v>8</v>
      </c>
    </row>
    <row r="8" spans="1:9" x14ac:dyDescent="0.3">
      <c r="A8" t="s">
        <v>20</v>
      </c>
      <c r="B8" s="4">
        <v>18</v>
      </c>
      <c r="C8" s="4">
        <v>2</v>
      </c>
      <c r="D8" s="4"/>
      <c r="E8" s="4">
        <v>20</v>
      </c>
      <c r="H8" s="2" t="s">
        <v>145</v>
      </c>
      <c r="I8" s="8">
        <f>I5/I4</f>
        <v>0.8125</v>
      </c>
    </row>
    <row r="9" spans="1:9" x14ac:dyDescent="0.3">
      <c r="A9" t="s">
        <v>139</v>
      </c>
      <c r="B9" s="4">
        <v>65</v>
      </c>
      <c r="C9" s="4">
        <v>7</v>
      </c>
      <c r="D9" s="4">
        <v>8</v>
      </c>
      <c r="E9" s="4">
        <v>80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21" sqref="E21"/>
    </sheetView>
  </sheetViews>
  <sheetFormatPr defaultRowHeight="14.4" x14ac:dyDescent="0.3"/>
  <cols>
    <col min="1" max="5" width="22.77734375" customWidth="1"/>
    <col min="7" max="7" width="19.5546875" bestFit="1" customWidth="1"/>
    <col min="9" max="9" width="14.33203125" bestFit="1" customWidth="1"/>
  </cols>
  <sheetData>
    <row r="1" spans="1:6" ht="25.2" x14ac:dyDescent="0.3">
      <c r="A1" s="12" t="s">
        <v>160</v>
      </c>
      <c r="B1" s="12"/>
      <c r="C1" s="12"/>
      <c r="D1" s="12"/>
      <c r="E1" s="12"/>
      <c r="F1" s="7"/>
    </row>
    <row r="3" spans="1:6" ht="15.6" x14ac:dyDescent="0.3">
      <c r="A3" s="13" t="s">
        <v>142</v>
      </c>
      <c r="B3" s="13" t="s">
        <v>143</v>
      </c>
      <c r="C3" s="13" t="s">
        <v>148</v>
      </c>
      <c r="D3" s="13" t="s">
        <v>144</v>
      </c>
      <c r="E3" s="13" t="s">
        <v>161</v>
      </c>
    </row>
    <row r="4" spans="1:6" ht="23.4" x14ac:dyDescent="0.3">
      <c r="A4" s="10">
        <v>80</v>
      </c>
      <c r="B4" s="10">
        <v>65</v>
      </c>
      <c r="C4" s="10">
        <v>7</v>
      </c>
      <c r="D4" s="10">
        <v>8</v>
      </c>
      <c r="E4" s="11">
        <v>0.8125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Operations Data</vt:lpstr>
      <vt:lpstr>Reference Data</vt:lpstr>
      <vt:lpstr>Reference Data Analysis</vt:lpstr>
      <vt:lpstr>Operations Data Analysis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2026-08-18T16:37:50Z</dcterms:modified>
</cp:coreProperties>
</file>